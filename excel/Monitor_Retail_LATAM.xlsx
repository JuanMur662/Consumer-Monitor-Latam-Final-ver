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urainvestmentsla-my.sharepoint.com/personal/juan_lozano_surainvestments_com/Documents/Documentos/Monitor Consumo/"/>
    </mc:Choice>
  </mc:AlternateContent>
  <xr:revisionPtr revIDLastSave="833" documentId="11_DCEC24F8689254B05003E3FD35FEEA42AA4DA12B" xr6:coauthVersionLast="47" xr6:coauthVersionMax="47" xr10:uidLastSave="{68C16E29-49DC-4E61-8D78-475C84D97787}"/>
  <bookViews>
    <workbookView xWindow="-165" yWindow="-16365" windowWidth="29130" windowHeight="15810" tabRatio="500" firstSheet="0" activeTab="0" xr2:uid="{00000000-000D-0000-FFFF-FFFF00000000}"/>
  </bookViews>
  <sheets>
    <sheet name="Resumen" sheetId="1" r:id="rId1"/>
    <sheet name="Noticias" sheetId="16" r:id="rId18"/>
    <sheet name="1_Actividad_Economica" sheetId="2" r:id="rId2"/>
    <sheet name="2_Ventas_Retail" sheetId="3" r:id="rId3"/>
    <sheet name="3_Confianza_Empresarial" sheetId="4" r:id="rId4"/>
    <sheet name="4_Confianza_Consumidor" sheetId="5" r:id="rId5"/>
    <sheet name="5_Inflacion" sheetId="6" r:id="rId6"/>
    <sheet name="6_ANTAD" sheetId="7" r:id="rId7"/>
    <sheet name="7_TPM's" sheetId="15" r:id="rId8"/>
    <sheet name="Log_Actualizacion" sheetId="17" r:id="rId19"/>
    <sheet name="Links a revisar" sheetId="8" r:id="rId9"/>
    <sheet name="PIB_Corp_Colombia" sheetId="9" r:id="rId10"/>
    <sheet name="PIB_Corp_Mex" sheetId="11" r:id="rId11"/>
    <sheet name="PIB_Corp_Chile" sheetId="12" r:id="rId12"/>
    <sheet name="PIB_Corp_Brasil" sheetId="13" r:id="rId13"/>
    <sheet name="PIB_Corp_Peru" sheetId="14" r:id="rId14"/>
  </sheets>
  <definedNames>
    <definedName name="ActEco_BRASIL">'1_Actividad_Economica'!$C$24:$C$89</definedName>
    <definedName name="ActEco_CHILE">'1_Actividad_Economica'!$D$24:$D$89</definedName>
    <definedName name="ActEco_COLOMBIA">'1_Actividad_Economica'!$E$24:$E$89</definedName>
    <definedName name="ActEco_Datos" comment="Tabla de input; la actualiza el código Python">'1_Actividad_Economica'!$B$23:$G$89</definedName>
    <definedName name="ActEco_Fechas">'1_Actividad_Economica'!$B$24:$B$89</definedName>
    <definedName name="ActEco_Heatmap">'1_Actividad_Economica'!$B$6:$G$19</definedName>
    <definedName name="ActEco_MEXICO">'1_Actividad_Economica'!$F$24:$F$89</definedName>
    <definedName name="ActEco_PERU">'1_Actividad_Economica'!$G$24:$G$89</definedName>
    <definedName name="ANTAD_AUTOSERVICIO">'6_ANTAD'!$D$7:$D$69</definedName>
    <definedName name="ANTAD_Datos" comment="Tabla de input; la actualiza el código Python">'6_ANTAD'!$B$6:$F$71</definedName>
    <definedName name="ANTAD_DEPARTAMENTAL">'6_ANTAD'!$E$7:$E$69</definedName>
    <definedName name="ANTAD_ESPECIALIZADAS">'6_ANTAD'!$F$7:$F$69</definedName>
    <definedName name="ANTAD_Fechas">'6_ANTAD'!$B$7:$B$69</definedName>
    <definedName name="ANTAD_OVERALL">'6_ANTAD'!$C$7:$C$69</definedName>
    <definedName name="ConfCons_BRASIL">'4_Confianza_Consumidor'!$C$27:$C$94</definedName>
    <definedName name="ConfCons_CHILE">'4_Confianza_Consumidor'!$D$27:$D$94</definedName>
    <definedName name="ConfCons_COLOMBIA">'4_Confianza_Consumidor'!$E$27:$E$94</definedName>
    <definedName name="ConfCons_Datos" comment="Tabla de input; la actualiza el código Python">'4_Confianza_Consumidor'!$B$26:$F$94</definedName>
    <definedName name="ConfCons_Fechas">'4_Confianza_Consumidor'!$B$27:$B$94</definedName>
    <definedName name="ConfCons_Heatmap">'4_Confianza_Consumidor'!$B$6:$F$22</definedName>
    <definedName name="ConfCons_MEXICO">'4_Confianza_Consumidor'!$F$27:$F$94</definedName>
    <definedName name="ConfEmp_BRASIL">'3_Confianza_Empresarial'!$C$26:$C$73</definedName>
    <definedName name="ConfEmp_CHILE">'3_Confianza_Empresarial'!$D$26:$D$73</definedName>
    <definedName name="ConfEmp_COLOMBIA">'3_Confianza_Empresarial'!$E$26:$E$73</definedName>
    <definedName name="ConfEmp_Datos" comment="Tabla de input; la actualiza el código Python">'3_Confianza_Empresarial'!$B$25:$G$73</definedName>
    <definedName name="ConfEmp_Fechas">'3_Confianza_Empresarial'!$B$26:$B$73</definedName>
    <definedName name="ConfEmp_Heatmap">'3_Confianza_Empresarial'!$B$6:$G$21</definedName>
    <definedName name="ConfEmp_MEXICO">'3_Confianza_Empresarial'!$F$26:$F$73</definedName>
    <definedName name="ConfEmp_PERU">'3_Confianza_Empresarial'!$G$26:$G$73</definedName>
    <definedName name="Infl_BRASIL">'5_Inflacion'!$C$27:$C$94</definedName>
    <definedName name="Infl_CHILE">'5_Inflacion'!$D$27:$D$94</definedName>
    <definedName name="Infl_COLOMBIA">'5_Inflacion'!$E$27:$E$94</definedName>
    <definedName name="Infl_Datos" comment="Tabla de input; la actualiza el código Python">'5_Inflacion'!$B$26:$H$94</definedName>
    <definedName name="Infl_ESTADOS_UNIDOS">'5_Inflacion'!$H$27:$H$94</definedName>
    <definedName name="Infl_Fechas">'5_Inflacion'!$B$27:$B$94</definedName>
    <definedName name="Infl_Heatmap">'5_Inflacion'!$B$6:$H$22</definedName>
    <definedName name="Infl_MEXICO">'5_Inflacion'!$F$27:$F$94</definedName>
    <definedName name="Infl_PERU">'5_Inflacion'!$G$27:$G$94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TPM_BRASIL">'7_TPM''s'!$C$6:$C$87</definedName>
    <definedName name="TPM_CHILE">'7_TPM''s'!$D$6:$D$87</definedName>
    <definedName name="TPM_COLOMBIA">'7_TPM''s'!$E$6:$E$87</definedName>
    <definedName name="TPM_Datos" comment="Tabla de input; la actualiza el código Python">'7_TPM''s'!$B$5:$H$91</definedName>
    <definedName name="TPM_ESTADOS_UNIDOS">'7_TPM''s'!$H$6:$H$87</definedName>
    <definedName name="TPM_Fechas">'7_TPM''s'!$B$6:$B$87</definedName>
    <definedName name="TPM_MEXICO">'7_TPM''s'!$F$6:$F$87</definedName>
    <definedName name="TPM_PERU">'7_TPM''s'!$G$6:$G$87</definedName>
    <definedName name="Ventas_BRASIL">'2_Ventas_Retail'!$C$24:$C$87</definedName>
    <definedName name="Ventas_CHILE">'2_Ventas_Retail'!$D$24:$D$87</definedName>
    <definedName name="Ventas_COLOMBIA">'2_Ventas_Retail'!$E$24:$E$87</definedName>
    <definedName name="Ventas_Datos" comment="Tabla de input; la actualiza el código Python">'2_Ventas_Retail'!$B$23:$F$87</definedName>
    <definedName name="Ventas_Fechas">'2_Ventas_Retail'!$B$24:$B$87</definedName>
    <definedName name="Ventas_Heatmap">'2_Ventas_Retail'!$B$6:$F$19</definedName>
    <definedName name="Ventas_MEXICO">'2_Ventas_Retail'!$F$24:$F$87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<sst xmlns="http://schemas.openxmlformats.org/spreadsheetml/2006/main" count="636" uniqueCount="636">
  <si>
    <t>Monitor Retail LATAM</t>
  </si>
  <si>
    <t>Réplica + estructura para actualización mensual</t>
  </si>
  <si>
    <t>Construido: 04-May-2026</t>
  </si>
  <si>
    <t>Fuente original: 2026_01_21-Monitor_Retail.pptx (SURA Investments)</t>
  </si>
  <si>
    <t>Código de Colores</t>
  </si>
  <si>
    <t>Texto AZUL</t>
  </si>
  <si>
    <t>Datos confirmados extraídos del heatmap del PPTX (input)</t>
  </si>
  <si>
    <t>Texto VERDE</t>
  </si>
  <si>
    <t>Dato verificado vía búsqueda web en fuente oficial (Banco Central, INEGI, INEI, DANE, ANTAD, etc.)</t>
  </si>
  <si>
    <t>Texto PÚRPURA</t>
  </si>
  <si>
    <t>Extracción VISUAL del gráfico de líneas del PPT (incertidumbre estimada ±0.3 a ±1.0pp). Útil para narrativa y forma histórica; verificar contra Bloomberg/fuente oficial antes de usar en publicación.</t>
  </si>
  <si>
    <t>Fondo AMARILLO</t>
  </si>
  <si>
    <t>Celda que requiere actualización mensual / completar cuando se publique el dato</t>
  </si>
  <si>
    <t>Texto NEGRO</t>
  </si>
  <si>
    <t>Fórmulas y etiquetas</t>
  </si>
  <si>
    <t>Celda en blanco</t>
  </si>
  <si>
    <t>GAP — dato no disponible en PPTX ni verificado; el usuario debe completar desde Bloomberg/Eikon o fuente oficial</t>
  </si>
  <si>
    <t>1_Actividad_Economica</t>
  </si>
  <si>
    <t>2_Ventas_Retail</t>
  </si>
  <si>
    <t>3_Confianza_Empresarial</t>
  </si>
  <si>
    <t>4_Confianza_Consumidor</t>
  </si>
  <si>
    <t>5_Inflacion</t>
  </si>
  <si>
    <t>6_ANTAD</t>
  </si>
  <si>
    <t>Cómo actualizar el archivo cada mes</t>
  </si>
  <si>
    <t>1. En cada hoja, ir a la sección 'Serie Mensual' (debajo del heatmap).</t>
  </si>
  <si>
    <t>2. Localizar la fila correspondiente al nuevo mes (las filas YA están pre-llenadas hasta May-2026).</t>
  </si>
  <si>
    <t>3. Pegar el nuevo dato en la columna del país correspondiente.</t>
  </si>
  <si>
    <t>4. El heatmap superior se actualiza automáticamente vía fórmula INDEX/MATCH.</t>
  </si>
  <si>
    <t>5. El gráfico de líneas se actualiza automáticamente al ampliar la serie.</t>
  </si>
  <si>
    <t>6. Las celdas marcadas en AMARILLO son las próximas que necesitarán dato.</t>
  </si>
  <si>
    <t>Notas importantes:</t>
  </si>
  <si>
    <t>• La serie histórica desde 2021 está estructurada con todas las fechas; los puntos NO incluidos en el heatmap del PPTX deben completarse desde fuente oficial.</t>
  </si>
  <si>
    <t>• Se verificaron los últimos datos disponibles a la fecha de construcción (May 2026) contra fuentes oficiales — match casi perfecto con PPTX.</t>
  </si>
  <si>
    <t>• Para la serie ANTAD por segmento (Departamental/Autoservicio/Especializadas), el PPTX solo muestra el 'Overall'; los segmentos están parcialmente verificados desde comunicados de prensa ANTAD.</t>
  </si>
  <si>
    <t>Status de Datos por País / Indicador</t>
  </si>
  <si>
    <t>Hoja</t>
  </si>
  <si>
    <t>BR</t>
  </si>
  <si>
    <t>CL</t>
  </si>
  <si>
    <t>CO</t>
  </si>
  <si>
    <t>MX</t>
  </si>
  <si>
    <t>PE</t>
  </si>
  <si>
    <t>OFICIAL</t>
  </si>
  <si>
    <t>VISUAL</t>
  </si>
  <si>
    <t>—</t>
  </si>
  <si>
    <t>MIXTO</t>
  </si>
  <si>
    <t>Fuentes utilizadas</t>
  </si>
  <si>
    <t>BCB Brasil (API): https://api.bcb.gov.br/dados/serie/bcdata.sgs.{ID}/dados</t>
  </si>
  <si>
    <t xml:space="preserve">  • IBC-Br ID 24363 (actividad), INEC ID 4393 (confianza consumidor), IPCA ID 433 (inflación mensual)</t>
  </si>
  <si>
    <t>BCRP Perú: https://estadisticas.bcrp.gob.pe/estadisticas/series/mensuales/resultados/{CODIGO}/html</t>
  </si>
  <si>
    <t xml:space="preserve">  • PN01728AM (PBI YoY), PN38705PM (IPC nivel), PD39752AM (Confianza Empresarial)</t>
  </si>
  <si>
    <t>CNI Brasil ICEI: https://www.portaldaindustria.com.br/estatisticas/icei-indice-de-confianca-do-empresario-industrial/</t>
  </si>
  <si>
    <t>Series oficiales NO accesibles directamente desde web (requieren Bloomberg, descarga manual o portal interactivo):</t>
  </si>
  <si>
    <t xml:space="preserve">  • BCCh Chile - IMACEC, IPC, IMCE, IPEC (xlsx interactivos)</t>
  </si>
  <si>
    <t xml:space="preserve">  • DANE Colombia - ISE, EMC, IPC (xlsx via boletines mensuales)</t>
  </si>
  <si>
    <t xml:space="preserve">  • INEGI México - IGAE, EMEC, ICE, ICC, INPC (tabulados)</t>
  </si>
  <si>
    <t xml:space="preserve">  • Fedesarrollo - EOE, ICC (descarga de PDF/xlsx por mes)</t>
  </si>
  <si>
    <t>ANTAD México - https://antad.net (comunicados mensuales)</t>
  </si>
  <si>
    <t>Actividad Económica</t>
  </si>
  <si>
    <t>Variación de Índice Mensual de Actividad Económica no Desestacionalizado (% YoY)</t>
  </si>
  <si>
    <t>Mes</t>
  </si>
  <si>
    <t>BRASIL</t>
  </si>
  <si>
    <t>CHILE</t>
  </si>
  <si>
    <t>COLOMBIA</t>
  </si>
  <si>
    <t>MEXICO</t>
  </si>
  <si>
    <t>PERU</t>
  </si>
  <si>
    <t>Abr-25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</si>
  <si>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</si>
  <si>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</si>
  <si>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</si>
  <si>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</si>
  <si>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</si>
  <si>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</si>
  <si>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</si>
  <si>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</si>
  <si>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Ene-26</t>
  </si>
  <si>
    <t>Feb-26</t>
  </si>
  <si>
    <t>Mar-26</t>
  </si>
  <si>
    <t>Promedio</t>
  </si>
  <si>
    <t>Serie Mensual Histórica (input data)</t>
  </si>
  <si>
    <t>Fecha</t>
  </si>
  <si>
    <t>Fuentes:</t>
  </si>
  <si>
    <t>Banco Central do Brasil (IBC-Br), Banco Central de Chile (IMACEC), DANE (ISE), INEGI (IGAE), Banco Central de Reserva del Perú (Producción Nacional INEI)</t>
  </si>
  <si>
    <t>Nota:</t>
  </si>
  <si>
    <t>Mar-2026 verificado: Chile IMACEC = -0.1% (BCCh, publicado May 4, 2026). Brasil/Colombia/México/Perú Mar-26 pendientes de publicación al cierre de este archivo.</t>
  </si>
  <si>
    <t>Brasil Feb-26 IBC-Br oficial: -0.3% YoY (PPTX muestra -0.27%; diferencia por redondeo).</t>
  </si>
  <si>
    <t>México Feb-26 IGAE oficial: -0.3% YoY cifras originales (PPTX muestra -0.26%).</t>
  </si>
  <si>
    <t>Colombia Feb-26 ISE oficial: 1.65% YoY ✓ match exacto con PPTX.</t>
  </si>
  <si>
    <t>Perú Feb-26 Producción Nacional INEI: 3.68% YoY (PPTX muestra 3.7% — match).</t>
  </si>
  <si>
    <t>Ventas Retail</t>
  </si>
  <si>
    <t>Wholesale/Retail Sale YoY Total Return Variation</t>
  </si>
  <si>
    <t>Bloomberg (los datos del PPTX provienen de Bloomberg). Equivalentes oficiales: PMC IBGE (BR) / INE Comercio (CL) / EMCM DANE (CO) / ANTAD (MX)</t>
  </si>
  <si>
    <t>México en este chart corresponde a ANTAD Same-Store Sales (overall, Tiendas Iguales) — coincide con el chart de la hoja 6_ANTAD.</t>
  </si>
  <si>
    <t>Para Brasil/Chile/Colombia los datos son de Bloomberg (PMC, INE Comercio, EMCM respectivamente).</t>
  </si>
  <si>
    <t>ANTAD Feb-26 Tiendas Iguales overall: 1.1% (PPTX 3.1%) — DISCREPANCIA. PPTX puede usar Tiendas Totales o serie distinta. Verificar fuente Bloomberg exacta.</t>
  </si>
  <si>
    <t>ANTAD Mar-26 Tiendas Iguales overall: 1.7% (PPTX no incluye); Mar-26 Tiendas Totales: 3.8%.</t>
  </si>
  <si>
    <t>Índice Confianza Empresarial</t>
  </si>
  <si>
    <t>Índice de Confianza Empresarial entre 0 y 100 — Formula Normalización Colombia: ID = (X+100)/2</t>
  </si>
  <si>
    <t>Feb-25</t>
  </si>
  <si>
    <t>Mar-25</t>
  </si>
  <si>
    <t>Confederação Nacional da Indústria (ICEI), Banco Central de Chile (IMCE), Fedesarrollo (EOE — normalizado), INEGI (Confianza Empresarial Manufacturera), Banco Central de Reserva del Perú (Expectativas Empresariales)</t>
  </si>
  <si>
    <t>Colombia se normaliza con la fórmula ID(0-100) = (X_indice + 100) / 2 ya que el índice original de Fedesarrollo va de -100 a +100.</t>
  </si>
  <si>
    <t>Brasil Jan-26: 48.5 (último dato confirmado en PPTX). Chile/Colombia/México/Perú último dato es Dic-25.</t>
  </si>
  <si>
    <t>Colombia Dec-25: NaN en el PPTX — verificar publicación de Fedesarrollo.</t>
  </si>
  <si>
    <t>Índice Confianza Consumidor</t>
  </si>
  <si>
    <t>Índice de Confianza Consumidor entre 0 y 100 — Formula Normalización Brasil: ID = X/2</t>
  </si>
  <si>
    <t>Ene-25</t>
  </si>
  <si>
    <t>Banco Central do Brasil / FGV (INEC normalizado), Banco Central de Chile (IPEC), Fedesarrollo (ICC), INEGI (ICC)</t>
  </si>
  <si>
    <t>Brasil se normaliza con ID = X_indice / 2 (el índice FGV original va de 0 a 200).</t>
  </si>
  <si>
    <t>Brasil Nov-25: 59.32 (último dato confirmado). Brasil Dec-25 = NaN en PPTX, requiere verificación.</t>
  </si>
  <si>
    <t>Chile/Colombia/México último dato Dic-25.</t>
  </si>
  <si>
    <t>Inflación</t>
  </si>
  <si>
    <t>Variación Índice de Precios al Consumidor (% YoY)</t>
  </si>
  <si>
    <t>Banco Central do Brasil (IPCA), Banco Central de Chile (IPC), DANE (IPC Colombia), INEGI (INPC México), Banco Central de Reserva del Perú (IPC Lima Metropolitana)</t>
  </si>
  <si>
    <t>Inflación Dic-25 último dato del PPTX. Datos de Ene/Feb/Mar/Abr-26 deben actualizarse desde fuentes oficiales (publicación mensual ~10 del mes siguiente).</t>
  </si>
  <si>
    <t>ANTAD - México: Same-Store Sales</t>
  </si>
  <si>
    <t>Variación nominal % YoY a Tiendas Iguales (más de 12 meses operando)</t>
  </si>
  <si>
    <t>Serie Mensual ANTAD — Tiendas Iguales</t>
  </si>
  <si>
    <t>OVERALL</t>
  </si>
  <si>
    <t>AUTOSERVICIO</t>
  </si>
  <si>
    <t>DEPARTAMENTAL</t>
  </si>
  <si>
    <t>ESPECIALIZADAS</t>
  </si>
  <si>
    <t>Asociación Nacional de Tiendas de Autoservicio y Departamentales (ANTAD), comunicados mensuales — antad.net</t>
  </si>
  <si>
    <t>PPTX solo reporta la serie 'Overall' — los segmentos (Autoservicio/Departamental/Especializadas) se llenaron desde comunicados ANTAD verificados.</t>
  </si>
  <si>
    <t>Marzo-26 confirmado vía 5 fuentes (ANTAD oficial, Reforma, La Jornada, Mundo Ejecutivo, Retailers.mx).</t>
  </si>
  <si>
    <t>Enero-26 Overall = 3.4% es CALCULADO (bimestre acc 2.2% &amp; Feb 1.1%) — verificar contra comunicado ANTAD.</t>
  </si>
  <si>
    <t>Para serie histórica completa (2021-2025), pegar valores desde reportes mensuales ANTAD (color azul = del PPTX, color verde = verificado web, blanco = pendiente).</t>
  </si>
  <si>
    <t>Contexto credit research: 2025 SSS departamental fue inusualmente fuerte (calendario, base baja 2024, PTU/wages, expansión de crédito); el retorno a -0.7% en Feb-26 y +0.9% en Mar-26 refleja normalización contra base alta, no deterioro estructural (ver memoria proyecto).</t>
  </si>
  <si>
    <t>Hoja 1 — Actividad Económica</t>
  </si>
  <si>
    <t>Hoja 2 — Ventas Retail (todas faltan)</t>
  </si>
  <si>
    <t>Hoja 3 — Confianza Empresarial</t>
  </si>
  <si>
    <t>Hoja 4 — Confianza Consumidor</t>
  </si>
  <si>
    <t>Hoja 5 — Inflación</t>
  </si>
  <si>
    <t>Hoja 6 — ANTAD (no la pasaste, pero la oficial es)</t>
  </si>
  <si>
    <t>→ https://antad.net (sección "Indicadores ANTAD" → comunicados mensuales para llenar histórico 2021-2025 con Overall + Autoservicio + Departamental + Especializadas)</t>
  </si>
  <si>
    <t>https://si3.bcentral.cl/estadisticas/Principal1/excel/CCNN/IMACEC/Excel/IMACEC.xlsx</t>
  </si>
  <si>
    <t xml:space="preserve">Chile (IMACEC) </t>
  </si>
  <si>
    <t>Heatmap Actividad Económica - VAR YoY 12M</t>
  </si>
  <si>
    <t>https://www.dane.gov.co/index.php/estadisticas-por-tema/cuentas-nacionales/indicador-de-seguimiento-a-la-economia-ise</t>
  </si>
  <si>
    <t xml:space="preserve">Colombia (ISE) </t>
  </si>
  <si>
    <t>https://www.inegi.org.mx/contenidos/programas/igae/2018/tabulados/ori/IGAE_2.xlsx</t>
  </si>
  <si>
    <t xml:space="preserve">México (IGAE) </t>
  </si>
  <si>
    <t>https://www.ibge.gov.br/estatisticas/economicas/comercio/9227-pesquisa-mensal-de-comercio.html</t>
  </si>
  <si>
    <t>Brasil (PMC IBGE)</t>
  </si>
  <si>
    <t>Heatmap Ventas Retail - VAR YoY 12M</t>
  </si>
  <si>
    <t>Heatmap Índice Confianza Empresarial - VAR YoY 12M</t>
  </si>
  <si>
    <t xml:space="preserve">Chile (INE Comercio) </t>
  </si>
  <si>
    <t>https://www.ine.gob.cl/docs/default-source/actividad-mensual-del-comercio/cuadros-estadisticos/base-promedio-año-2018-100/series-mensuales-desde-enero-de-2018-a-la-fecha.xlsx</t>
  </si>
  <si>
    <t>No funciona</t>
  </si>
  <si>
    <t xml:space="preserve">Colombia (EMC DANE) </t>
  </si>
  <si>
    <t>https://www.dane.gov.co/index.php/estadisticas-por-tema/comercio-interno/encuesta-mensual-de-comercio-emc</t>
  </si>
  <si>
    <t>https://www.inegi.org.mx/app/tabulados/interactivos/?px=EMEC_NACIONAL_0&amp;bd=EMEC</t>
  </si>
  <si>
    <t xml:space="preserve"> https://www.portaldaindustria.com.br/estatisticas/icei-indice-de-confianca-do-empresario-industrial/</t>
  </si>
  <si>
    <t>México (ANTAD via INEGI EMEC)</t>
  </si>
  <si>
    <t>https://si3.bcentral.cl/siete/ES/Siete/Cuadro/CAP_BDP/MN_EXP_EC11/EXE_IMCE_TOTAL</t>
  </si>
  <si>
    <t xml:space="preserve">Chile (IMCE BCCh) </t>
  </si>
  <si>
    <t xml:space="preserve">Brasil (ICEI CNI) </t>
  </si>
  <si>
    <t>https://www.repository.fedesarrollo.org.co/handle/11445/37</t>
  </si>
  <si>
    <t xml:space="preserve">Colombia (EOE Fedesarrollo) </t>
  </si>
  <si>
    <t>https://www.inegi.org.mx/app/tabulados/default.html?nc=100100061&amp;idrt=28&amp;opc=t</t>
  </si>
  <si>
    <t>México (INEGI Conf Empresarial)</t>
  </si>
  <si>
    <t>Heatmap Índice Confianza Consumidor - VAR YoY 12M</t>
  </si>
  <si>
    <t>https://si3.bcentral.cl/Siete/ES/Siete/Cuadro/CAP_EXP_ECO/MN_EXP_EC11/IPSOS_ICC_M/638427307428609836 (el segundo link que pasaste, el primero está roto)</t>
  </si>
  <si>
    <t>Chile (IPSOS-ICC BCCh)</t>
  </si>
  <si>
    <t>https://www.repository.fedesarrollo.org.co/handle/11445/36</t>
  </si>
  <si>
    <t>Colombia (ICC Fedesarrollo)</t>
  </si>
  <si>
    <t>https://www.inegi.org.mx/contenidos/programas/enco/tabulados/enco_b_indicador_de_confianza_del_consumidor.xlsx</t>
  </si>
  <si>
    <t xml:space="preserve">México (ICC INEGI) </t>
  </si>
  <si>
    <t>https://si3.bcentral.cl/Siete/ES/Siete/Cuadro/CAP_PRECIOS/MN_CAP_PRECIOS/IPC_VAR_ANUAL_HIST_NEW</t>
  </si>
  <si>
    <t>Chile (IPC BCCh)</t>
  </si>
  <si>
    <t>Colombia (IPC DANE)</t>
  </si>
  <si>
    <t>https://www.dane.gov.co/index.php/estadisticas-por-tema/precios-y-costos/indice-de-precios-al-consumidor-ipc</t>
  </si>
  <si>
    <t>https://www.inegi.org.mx/temas/inpc/</t>
  </si>
  <si>
    <t>México (INPC INEGI)</t>
  </si>
  <si>
    <t>Heatmap Índice Precios Consumidor - VAR YoY 12M</t>
  </si>
  <si>
    <t>PIB</t>
  </si>
  <si>
    <t>Organizacion Terpel S.A.</t>
  </si>
  <si>
    <t>AAA(col)</t>
  </si>
  <si>
    <t>Stable</t>
  </si>
  <si>
    <t>Biomax Biocombustibles S.A.</t>
  </si>
  <si>
    <t>AA+(col)</t>
  </si>
  <si>
    <t>RWP</t>
  </si>
  <si>
    <t>Primax Colombia S.A.</t>
  </si>
  <si>
    <t>Ratings</t>
  </si>
  <si>
    <t>Outlook</t>
  </si>
  <si>
    <t>2025F</t>
  </si>
  <si>
    <t>2026F</t>
  </si>
  <si>
    <t>2027F</t>
  </si>
  <si>
    <t>Revenue Growth</t>
  </si>
  <si>
    <t>EBITDAR Margin</t>
  </si>
  <si>
    <t>FCF Margin</t>
  </si>
  <si>
    <t>EBITDAR Leverage (x)</t>
  </si>
  <si>
    <t>Nutresa</t>
  </si>
  <si>
    <t>2026E</t>
  </si>
  <si>
    <t>2027E</t>
  </si>
  <si>
    <t>El Puerto de Liverpool S.A.B. de C.V.</t>
  </si>
  <si>
    <t>BBB+</t>
  </si>
  <si>
    <t>Grupo Palacio de Hierro, S.A.B. de C.V.</t>
  </si>
  <si>
    <t>AAA(mex)</t>
  </si>
  <si>
    <t>Grupo Sanborns, S.A.B. de C.V.</t>
  </si>
  <si>
    <t>Fomento Economico Mexicano, S.A.B. de C.V. (FEMSA)a</t>
  </si>
  <si>
    <t>A</t>
  </si>
  <si>
    <t>Grupo Comercial Chedraui, S.A.B. De C.V.</t>
  </si>
  <si>
    <t>Organizacion Soriana, S.A.B. de C.V.</t>
  </si>
  <si>
    <t>EBITDA Average</t>
  </si>
  <si>
    <t>Net Leverage Average</t>
  </si>
  <si>
    <t>Falabella S.A.</t>
  </si>
  <si>
    <t>BBB-</t>
  </si>
  <si>
    <t>10.3</t>
  </si>
  <si>
    <t>9.5</t>
  </si>
  <si>
    <t>3.3</t>
  </si>
  <si>
    <t>4.7</t>
  </si>
  <si>
    <t>11.2</t>
  </si>
  <si>
    <t>13.0</t>
  </si>
  <si>
    <t>12.8</t>
  </si>
  <si>
    <t>13.2</t>
  </si>
  <si>
    <t>4.6</t>
  </si>
  <si>
    <t>3.6</t>
  </si>
  <si>
    <t>0.3</t>
  </si>
  <si>
    <t>2.0</t>
  </si>
  <si>
    <t>4.8</t>
  </si>
  <si>
    <t>2.8</t>
  </si>
  <si>
    <t>3.0</t>
  </si>
  <si>
    <t>2.7</t>
  </si>
  <si>
    <t>Havan S.A.</t>
  </si>
  <si>
    <t>AAA(bra)</t>
  </si>
  <si>
    <t>Vivara Participacoes S.A.</t>
  </si>
  <si>
    <t>Grupo SBF S.A. (Centauro)</t>
  </si>
  <si>
    <t>AA-(bra)</t>
  </si>
  <si>
    <t>Positive</t>
  </si>
  <si>
    <t>C&amp;A Modas S.A.</t>
  </si>
  <si>
    <t>Empreendimentos Pague Menos S.A.</t>
  </si>
  <si>
    <t>Guararapes Confeccoes S.A.</t>
  </si>
  <si>
    <t>A+(bra)</t>
  </si>
  <si>
    <t>CPX Distribuidora S.A. (Cantu Store)</t>
  </si>
  <si>
    <t>A-(bra)</t>
  </si>
  <si>
    <t>Farmacia e Drogaria Nissei S.A.</t>
  </si>
  <si>
    <t>MPM Corporeos S.A.</t>
  </si>
  <si>
    <t>CVC Brasil Operadora e Agencia de Viagens S.A.</t>
  </si>
  <si>
    <t>BBB(bra)</t>
  </si>
  <si>
    <t>Mercado Libre, Inc.</t>
  </si>
  <si>
    <t>Mateus Supermercados S.A.</t>
  </si>
  <si>
    <t>Sendas Distribuidora S/A</t>
  </si>
  <si>
    <t xml:space="preserve">Tasas de Politica Monetaria </t>
  </si>
  <si>
    <t>Estados Unidos</t>
  </si>
  <si>
    <t>Fuentes para USA:</t>
  </si>
  <si>
    <t>12-month percentage change, Consumer Price Index, selected categories</t>
  </si>
  <si>
    <t>Fuente mexico:</t>
  </si>
  <si>
    <t>Fuente estados Unidos:</t>
  </si>
  <si>
    <t>Federal Funds Effective Rate (FEDFUNDS) | FRED | St. Louis Fed</t>
  </si>
  <si>
    <t>Fuente Colombia:</t>
  </si>
  <si>
    <t>https://suameca.banrep.gov.co/estadisticas-economicas/informacionSerie/59/tasas_interes_politica_monetaria</t>
  </si>
  <si>
    <t>Fuente Mexico:</t>
  </si>
  <si>
    <t>https://www.banxico.org.mx/SieInternet/consultarDirectorioInternetAction.do?accion=consultarCuadro&amp;idCuadro=CF101&amp;sector=18&amp;locale=es</t>
  </si>
  <si>
    <t>Abr-26</t>
  </si>
  <si>
    <t>May-26</t>
  </si>
  <si>
    <t>Jun-26</t>
  </si>
  <si>
    <t>Jul-26</t>
  </si>
  <si>
    <t>Ago-26</t>
  </si>
  <si>
    <t>Sep-26</t>
  </si>
  <si>
    <t>Oct-26</t>
  </si>
  <si>
    <t>Principales noticias y lectura por país</t>
  </si>
  <si>
    <t>Actualizado: 19-Oct-2026 14:21. Titulares de los últimos 45 días (Google News RSS + feeds oficiales). La columna «Por qué» es una extracción automática del titular; verificar antes de citar.</t>
  </si>
  <si>
    <t>BRASIL: Actividad 1.06% en jul-26 (-1.30 pp m/m); Ventas Retail 0.40% en ago-26 (-0.90 pp m/m); Confianza Empresarial 46.2 en oct-26 (+1.3 pts m/m); Confianza Consumidor 60.4 en ago-26 (-0.4 pts m/m); Inflación 4.22% en ago-26 (-0.22 pp m/m); TPM 13.75% en sep-26 (-0.25 pp m/m).</t>
  </si>
  <si>
    <t>Indicador</t>
  </si>
  <si>
    <t>Último mes</t>
  </si>
  <si>
    <t>Dato</t>
  </si>
  <si>
    <t>Mes previo</t>
  </si>
  <si>
    <t>Cambio m/m</t>
  </si>
  <si>
    <t>Hace 12m</t>
  </si>
  <si>
    <t>Lectura</t>
  </si>
  <si>
    <t>Actividad</t>
  </si>
  <si>
    <t>jul-26</t>
  </si>
  <si>
    <t>baja (-1.30 pp vs mes previo); -0.46 pp vs hace 12 meses</t>
  </si>
  <si>
    <t>ago-26</t>
  </si>
  <si>
    <t>baja (-0.90 pp vs mes previo); +0.10 pp vs hace 12 meses</t>
  </si>
  <si>
    <t>Confianza Empresarial</t>
  </si>
  <si>
    <t>oct-26</t>
  </si>
  <si>
    <t>sube (+1.3 pts vs mes previo); -1.0 pts vs hace 12 meses; zona pesimista (&lt;50)</t>
  </si>
  <si>
    <t>Confianza Consumidor</t>
  </si>
  <si>
    <t>baja (-0.4 pts vs mes previo); +4.5 pts vs hace 12 meses; zona optimista (&gt;50)</t>
  </si>
  <si>
    <t>baja (-0.22 pp vs mes previo); -0.91 pp vs hace 12 meses</t>
  </si>
  <si>
    <t>TPM</t>
  </si>
  <si>
    <t>sep-26</t>
  </si>
  <si>
    <t>baja (-0.25 pp vs mes previo); -1.25 pp vs hace 12 meses</t>
  </si>
  <si>
    <t>Fuente</t>
  </si>
  <si>
    <t>Titular</t>
  </si>
  <si>
    <t>Por qué (extracto)</t>
  </si>
  <si>
    <t>Rankia</t>
  </si>
  <si>
    <t>IPCA de setembro sai sexta: mercado espera 0,60% e inflação em 12 meses perto do teto de 4,5%</t>
  </si>
  <si>
    <t>CHILE: Actividad -1.00% en ago-26 (+0.50 pp m/m); Ventas Retail 4.60% en mar-26 (-1.00 pp m/m); Confianza Empresarial 51.8 en sep-26 (-1.3 pts m/m); Confianza Consumidor 40.5 en sep-26 (+2.4 pts m/m); Inflación 4.13% en ago-26 (+0.61 pp m/m); TPM 4.50% en sep-26 (+0.00 pp m/m).</t>
  </si>
  <si>
    <t>sube (+0.50 pp vs mes previo); -1.30 pp vs hace 12 meses</t>
  </si>
  <si>
    <t>mar-26</t>
  </si>
  <si>
    <t>baja (-1.00 pp vs mes previo); +0.60 pp vs hace 12 meses; último dato con 6 meses de rezago</t>
  </si>
  <si>
    <t>baja (-1.3 pts vs mes previo); +1.6 pts vs hace 12 meses; zona optimista (&gt;50)</t>
  </si>
  <si>
    <t>sube (+2.4 pts vs mes previo); -3.5 pts vs hace 12 meses; zona pesimista (&lt;50)</t>
  </si>
  <si>
    <t>sube (+0.61 pp vs mes previo); +0.13 pp vs hace 12 meses</t>
  </si>
  <si>
    <t>estable (+0.00 pp vs mes previo); -0.25 pp vs hace 12 meses</t>
  </si>
  <si>
    <t>El Ciudadano</t>
  </si>
  <si>
    <t>Economic Activity in Chile Continues to Decline: Imacec Drops 1% in August 2026</t>
  </si>
  <si>
    <t>COLOMBIA: Actividad 1.11% en jul-26 (-2.30 pp m/m); Ventas Retail 7.30% en ago-26 (+2.00 pp m/m); Confianza Empresarial 61.6 en ago-26 (-2.1 pts m/m); Confianza Consumidor 57.9 en sep-26 (+0.1 pts m/m); Inflación 6.24% en ago-26 (+0.22 pp m/m); TPM 12.00% en sep-26 (+0.00 pp m/m).</t>
  </si>
  <si>
    <t>baja (-2.30 pp vs mes previo); -3.64 pp vs hace 12 meses</t>
  </si>
  <si>
    <t>sube (+2.00 pp vs mes previo); -5.20 pp vs hace 12 meses</t>
  </si>
  <si>
    <t>baja (-2.1 pts vs mes previo); -1.6 pts vs hace 12 meses; zona optimista (&gt;50)</t>
  </si>
  <si>
    <t>estable (+0.1 pts vs mes previo); +7.1 pts vs hace 12 meses; zona optimista (&gt;50)</t>
  </si>
  <si>
    <t>sube (+0.22 pp vs mes previo); +1.13 pp vs hace 12 meses</t>
  </si>
  <si>
    <t>estable (+0.00 pp vs mes previo); +2.75 pp vs hace 12 meses</t>
  </si>
  <si>
    <t>Noticias RCN</t>
  </si>
  <si>
    <t>Inflación anual en Colombia llegó al 6,29% en septiembre, según el DANE</t>
  </si>
  <si>
    <t>INCP</t>
  </si>
  <si>
    <t>Inflación anual en Colombia alcanzó el 6,29 % en septiembre de 2026</t>
  </si>
  <si>
    <t>MEXICO: Actividad 3.40% en jul-26 (+0.60 pp m/m); Ventas Retail 1.80% en jul-26 (-0.90 pp m/m); ANTAD 1.70% en mar-26 (+0.60 pp m/m); Confianza Empresarial 47.9 en sep-26 (-0.1 pts m/m); Confianza Consumidor 45.1 en sep-26 (-1.2 pts m/m); Inflación 3.26% en ago-26 (+0.14 pp m/m); TPM 6.50% en sep-26 (+0.00 pp m/m).</t>
  </si>
  <si>
    <t>sube (+0.60 pp vs mes previo); +4.34 pp vs hace 12 meses</t>
  </si>
  <si>
    <t>baja (-0.90 pp vs mes previo); -0.60 pp vs hace 12 meses</t>
  </si>
  <si>
    <t>ANTAD</t>
  </si>
  <si>
    <t>sube (+0.60 pp vs mes previo); -1.30 pp vs hace 12 meses; último dato con 6 meses de rezago</t>
  </si>
  <si>
    <t>estable (-0.1 pts vs mes previo); -1.4 pts vs hace 12 meses; zona pesimista (&lt;50)</t>
  </si>
  <si>
    <t>baja (-1.2 pts vs mes previo); -1.0 pts vs hace 12 meses; zona pesimista (&lt;50)</t>
  </si>
  <si>
    <t>sube (+0.14 pp vs mes previo); -0.31 pp vs hace 12 meses</t>
  </si>
  <si>
    <t>estable (+0.00 pp vs mes previo); -1.00 pp vs hace 12 meses</t>
  </si>
  <si>
    <t>Eje Central</t>
  </si>
  <si>
    <t>Aumenta 1.7% en agosto la actividad económica en México</t>
  </si>
  <si>
    <t>Mundo Ejecutivo</t>
  </si>
  <si>
    <t>Inflación en México repunta en septiembre: ¿Qué decidirá Banxico sobre la tasa de interés?</t>
  </si>
  <si>
    <t>PERU: Actividad 3.56% en jul-26 (+1.81 pp m/m); Confianza Empresarial 66.7 en sep-26 (-0.6 pts m/m); Inflación 4.55% en sep-26 (+0.11 pp m/m); TPM 4.25% en oct-26 (+0.00 pp m/m).</t>
  </si>
  <si>
    <t>sube (+1.81 pp vs mes previo); +0.01 pp vs hace 12 meses</t>
  </si>
  <si>
    <t>baja (-0.6 pts vs mes previo); +2.2 pts vs hace 12 meses; zona optimista (&gt;50)</t>
  </si>
  <si>
    <t>sube (+0.11 pp vs mes previo); +3.19 pp vs hace 12 meses</t>
  </si>
  <si>
    <t>estable (+0.00 pp vs mes previo); +0.00 pp vs hace 12 meses</t>
  </si>
  <si>
    <t>Bloomberg Línea</t>
  </si>
  <si>
    <t>Economía de Perú crece 3,23% en agosto y se acerca a la meta anual del banco central</t>
  </si>
  <si>
    <t>ESTADOS UNIDOS</t>
  </si>
  <si>
    <t>ESTADOS UNIDOS: Inflación 3.70% en sep-26 (+0.30 pp m/m); TPM 3.75% en sep-26 (+0.12 pp m/m).</t>
  </si>
  <si>
    <t>sube (+0.30 pp vs mes previo); +0.68 pp vs hace 12 meses</t>
  </si>
  <si>
    <t>sube (+0.12 pp vs mes previo); -0.47 pp vs hace 12 meses</t>
  </si>
  <si>
    <t>Log de actualización</t>
  </si>
  <si>
    <t>Corrida: 19-Oct-2026 14:21  |  modo: offline  |  series OK: 21 de 34  |  celdas nuevas: 137  |  revisiones: 129</t>
  </si>
  <si>
    <t>Serie</t>
  </si>
  <si>
    <t>Estado</t>
  </si>
  <si>
    <t>Fuente usada</t>
  </si>
  <si>
    <t>Último dato</t>
  </si>
  <si>
    <t>Meses escritos</t>
  </si>
  <si>
    <t>Validación</t>
  </si>
  <si>
    <t>Detalle / intentos</t>
  </si>
  <si>
    <t>OK</t>
  </si>
  <si>
    <t>BCB SGS 24363</t>
  </si>
  <si>
    <t>2026-07</t>
  </si>
  <si>
    <t>solape=14, MAD=0.0007021, corr=1.00</t>
  </si>
  <si>
    <t>5 nuevos, 14 revisados | BCB SGS 24363: OK hasta 2026-07 (solape=14, MAD=0.0007021, corr=1.00)</t>
  </si>
  <si>
    <t>BCCh BDE CCNN2018_IMACEC_01_A</t>
  </si>
  <si>
    <t>2026-08</t>
  </si>
  <si>
    <t>solape=27, MAD=0.0002788, corr=1.00</t>
  </si>
  <si>
    <t>5 nuevos, 27 revisados | BCCh BDE CCNN2018_IMACEC_01_A: OK hasta 2026-08 (solape=27, MAD=0.0002788, corr=1.00) || bcch_api: omitida (falta BCCH_TOKEN en .env)</t>
  </si>
  <si>
    <t>MANUAL</t>
  </si>
  <si>
    <t>manual_inputs.csv</t>
  </si>
  <si>
    <t>5 nuevos, 2 revisados | archivo_web: ERROR No se pudo obtener el archivo. https://www.dane.gov.co/files/operaciones/ISE/anex-ISE-9actividades-sep2026.xlsx: Sin copia local para dane_ise_archivo (dane_ise_archivo.xlsx) | https://www.dane.gov.co/files/operaciones/I || texto_web: ERROR Ningún boletín con 'serie original' (Sin copia local para dane_ise_bol_bol_ISE_abr2026_pdf (dane_ise_bol_bol_ISE_abr2; Sin copia local para dane_ise_bol_bol_ISE_mar2026_pdf (dane_ise_bol_bol_ISE_mar2)</t>
  </si>
  <si>
    <t>5 nuevos, 0 revisados | inegi: omitida (falta INEGI_TOKEN en .env)</t>
  </si>
  <si>
    <t>BCRP PN01728AM</t>
  </si>
  <si>
    <t>solape=9, MAD=0.0007632, corr=0.99</t>
  </si>
  <si>
    <t>5 nuevos, 9 revisados | BCRP PN01728AM: OK hasta 2026-07 (solape=9, MAD=0.0007632, corr=0.99)</t>
  </si>
  <si>
    <t>IBGE SIDRA t8880 v11709</t>
  </si>
  <si>
    <t>solape=14, MAD=3.469e-18, corr=0.88</t>
  </si>
  <si>
    <t>6 nuevos, 5 revisados | IBGE SIDRA t8880 v11709: OK hasta 2026-08 (solape=14, MAD=3.469e-18, corr=0.88)</t>
  </si>
  <si>
    <t>ERROR</t>
  </si>
  <si>
    <t>2026-03</t>
  </si>
  <si>
    <t>0 nuevos, 0 revisados | archivo_web: ERROR No se pudo obtener el archivo. página: Sin copia local para ine_cl_iac_pagina (ine_cl_iac_pagina.html) | https://www.ine.gob.cl/docs/default-source/actividad-mensual-del-comercio/cuadros-estadisticos/base-promedio-año-20</t>
  </si>
  <si>
    <t>6 nuevos, 0 revisados | archivo_web: ERROR No se pudo obtener el archivo. https://www.dane.gov.co/files/operaciones/EMC/anex-EMC-ComercioMinorista-sep2026.xlsx: Sin copia local para dane_emc_archivo (dane_emc_archivo.xlsx) | https://www.dane.gov.co/files/operacio || texto_web: ERROR Ningún boletín con 'ventas reales del comercio minorista' (Sin copia local para dane_emc_bol_bol_EMC_abr2026_pdf (dane_emc_bol_bol_EMC_abr2; Sin copia local para dane_emc_bol_bol_EMC_mar2026_pdf (dane_emc_bol_bol_EMC_mar</t>
  </si>
  <si>
    <t>BCB SGS 7341 + manual_inputs.csv</t>
  </si>
  <si>
    <t>2026-10</t>
  </si>
  <si>
    <t>solape=5, MAD=0</t>
  </si>
  <si>
    <t>6 nuevos, 0 revisados | archivo_web: ERROR No se pudo obtener el archivo. página: Sin copia local para cni_icei_pagina (cni_icei_pagina.html) || texto_web: ERROR Ningún boletín con 'ICEI' (Sin copia local para cni_icei_texto_ (cni_icei_texto_.html)) || texto_web: ERROR Ningún boletín con 'Ind[uú]stria Geral' (Sin copia local para abinee_icei_icei2604_pdf (abinee_icei_icei2604_pdf.pdf); Sin copia local para abinee_icei_icei2603_pdf (abinee_icei_icei2603_pdf.pdf)) || BCB SGS 7341: OK hasta 2026-07 (solape=5, MAD=0)</t>
  </si>
  <si>
    <t>BCCh BDE EXE_IMCE_TOTAL</t>
  </si>
  <si>
    <t>2026-09</t>
  </si>
  <si>
    <t>solape=3, MAD=0.003003</t>
  </si>
  <si>
    <t>5 nuevos, 3 revisados | BCCh BDE EXE_IMCE_TOTAL: OK hasta 2026-09 (solape=3, MAD=0.003003)</t>
  </si>
  <si>
    <t>5 nuevos, 0 revisados | archivo_web: ERROR No se pudo obtener el archivo. página: Sin copia local para fedesarrollo_eoe_pagina (fedesarrollo_eoe_pagina.html) || noticia_dato: ERROR Sin copia local para gnews_CO_Fedesarrollo_confianza_comercial (gnews_CO_Fedesarrollo_confianza_comercial.xml)</t>
  </si>
  <si>
    <t>5 nuevos, 0 revisados | inegi: omitida (falta INEGI_TOKEN en .env) || inegi: omitida (falta INEGI_TOKEN en .env)</t>
  </si>
  <si>
    <t>BCRP PD39752AM</t>
  </si>
  <si>
    <t>solape=10, MAD=0.002437, corr=1.00</t>
  </si>
  <si>
    <t>6 nuevos, 10 revisados | BCRP PD39752AM: OK hasta 2026-09 (solape=10, MAD=0.002437, corr=1.00)</t>
  </si>
  <si>
    <t>BCB SGS 4393</t>
  </si>
  <si>
    <t>solape=6, MAD=0</t>
  </si>
  <si>
    <t>5 nuevos, 0 revisados | BCB SGS 4393: OK hasta 2026-08 (solape=6, MAD=0)</t>
  </si>
  <si>
    <t>BCCh BDE 638427307428609836</t>
  </si>
  <si>
    <t>solape=15, MAD=0.0167, corr=1.00</t>
  </si>
  <si>
    <t>6 nuevos, 13 revisados | BCCh BDE 638427307428609836: OK hasta 2026-09 (solape=15, MAD=0.0167, corr=1.00)</t>
  </si>
  <si>
    <t>6 nuevos, 0 revisados | archivo_web: ERROR No se pudo obtener el archivo. página: Sin copia local para fedesarrollo_eoc_pagina (fedesarrollo_eoc_pagina.html) || noticia_dato: ERROR Sin copia local para gnews_CO_Fedesarrollo_confianza_del_consumidor (gnews_CO_Fedesarrollo_confianza_del_consumidor.xml)</t>
  </si>
  <si>
    <t>6 nuevos, 15 revisados | inegi: omitida (falta INEGI_TOKEN en .env) || texto_web: ERROR Ningún boletín con 'Indicador de Confianza del Consumidor' (Sin copia local para inegi_icc_bol_icc2026_03_pdf (inegi_icc_bol_icc2026_03_pdf.; Sin copia local para inegi_icc_bol_icc2026_02_pdf (inegi_icc_bol_icc2026_02_pd || inegi: omitida (falta INEGI_TOKEN en .env)</t>
  </si>
  <si>
    <t>BIS WS_LONG_CPI M.BR.771</t>
  </si>
  <si>
    <t>solape=3, MAD=7.213e-11</t>
  </si>
  <si>
    <t>5 nuevos, 1 revisados | BCB SGS 13522: OK hasta 2026-08 (solape=4, MAD=2.672e-05) || BIS WS_LONG_CPI M.BR.771: OK hasta 2026-08 (solape=3, MAD=7.213e-11)</t>
  </si>
  <si>
    <t>BIS WS_LONG_CPI M.CL.771</t>
  </si>
  <si>
    <t>solape=3, MAD=0.0002971</t>
  </si>
  <si>
    <t>5 nuevos, 3 revisados | bcch_siete: ERROR Sin copia local para bcch_siete_CAP_PRECIOS_MN_CAP_PRECIOS_IPC_VAR_ANUAL_HIST_NEW_NONE (bcch_siete_CAP_PRECIOS_MN_CAP_PRECIOS_IPC_VAR_ANUAL_HIST_NEW_NONE.html) || BIS WS_LONG_CPI M.CL.771: OK hasta 2026-08 (solape=3, MAD=0.0002971)</t>
  </si>
  <si>
    <t>BIS WS_LONG_CPI M.CO.771</t>
  </si>
  <si>
    <t>solape=3, MAD=1.1e-05</t>
  </si>
  <si>
    <t>5 nuevos, 2 revisados | archivo_web: ERROR No se pudo obtener el archivo. https://www.dane.gov.co/files/operaciones/IPC/sep2026/anex-IPC-Indices-sep2026.xlsx: Sin copia local para dane_ipc_archivo (dane_ipc_archivo.xlsx) | https://www.dane.gov.co/files/operacione || BIS WS_LONG_CPI M.CO.771: OK hasta 2026-08 (solape=3, MAD=1.1e-05)</t>
  </si>
  <si>
    <t>BIS WS_LONG_CPI M.MX.771</t>
  </si>
  <si>
    <t>solape=3, MAD=3.038e-05</t>
  </si>
  <si>
    <t>5 nuevos, 3 revisados | banxico: omitida (falta BANXICO_TOKEN en .env) || BIS WS_LONG_CPI M.MX.771: OK hasta 2026-08 (solape=3, MAD=3.038e-05)</t>
  </si>
  <si>
    <t>BCRP PN01273PM</t>
  </si>
  <si>
    <t>solape=10, MAD=1.533e-05, corr=1.00</t>
  </si>
  <si>
    <t>6 nuevos, 10 revisados | BCRP PN01273PM: OK hasta 2026-09 (solape=10, MAD=1.533e-05, corr=1.00) || BIS WS_LONG_CPI M.PE.771: OK hasta 2026-08 (solape=3, MAD=3.056e-06)</t>
  </si>
  <si>
    <t>BIS WS_LONG_CPI M.US.771</t>
  </si>
  <si>
    <t>solape=8, MAD=0.0003057, corr=1.00</t>
  </si>
  <si>
    <t>0 nuevos, 8 revisados | fred: ERROR Sin copia local para fred_CPIAUCNSL (fred_CPIAUCNSL.csv) || BIS WS_LONG_CPI M.US.771: OK hasta 2026-08 (solape=8, MAD=0.0003057, corr=1.00)</t>
  </si>
  <si>
    <t>0 nuevos, 0 revisados | noticia_dato: ERROR Sin copia local para gnews_MX_ANTAD_ventas_tiendas_iguales (gnews_MX_ANTAD_ventas_tiendas_iguales.xml)</t>
  </si>
  <si>
    <t>SIN FUENTE</t>
  </si>
  <si>
    <t>0 nuevos, 0 revisados | sin fuente automática configurada: usar data/manual_inputs.csv</t>
  </si>
  <si>
    <t>7_TPM's</t>
  </si>
  <si>
    <t>BIS WS_CBPOL M.BR</t>
  </si>
  <si>
    <t>solape=4, MAD=0</t>
  </si>
  <si>
    <t>5 nuevos, 0 revisados | bcb_sgs: ERROR Sin copia local para bcb_sgs_432 (bcb_sgs_432.json) || BIS WS_CBPOL M.BR: OK hasta 2026-09 (solape=4, MAD=0)</t>
  </si>
  <si>
    <t>BIS WS_CBPOL M.CL</t>
  </si>
  <si>
    <t>solape=4, MAD=0.00125</t>
  </si>
  <si>
    <t>5 nuevos, 2 revisados | BIS WS_CBPOL M.CL: OK hasta 2026-09 (solape=4, MAD=0.00125) || bcch_api: omitida (falta BCCH_TOKEN en .env)</t>
  </si>
  <si>
    <t>BIS WS_CBPOL M.CO</t>
  </si>
  <si>
    <t>solape=7, MAD=0</t>
  </si>
  <si>
    <t>2 nuevos, 2 revisados | BIS WS_CBPOL M.CO: OK hasta 2026-09 (solape=7, MAD=0)</t>
  </si>
  <si>
    <t>BIS WS_CBPOL M.MX</t>
  </si>
  <si>
    <t>solape=8, MAD=0, corr=1.00</t>
  </si>
  <si>
    <t>1 nuevos, 0 revisados | banxico: omitida (falta BANXICO_TOKEN en .env) || BIS WS_CBPOL M.MX: OK hasta 2026-09 (solape=8, MAD=0, corr=1.00)</t>
  </si>
  <si>
    <t>BCRP PD04722MM</t>
  </si>
  <si>
    <t>solape=11, MAD=0, corr=1.00</t>
  </si>
  <si>
    <t>6 nuevos, 0 revisados | BCRP PD04722MM: OK hasta 2026-10 (solape=11, MAD=0, corr=1.00) || BIS WS_CBPOL M.PE: OK hasta 2026-09 (solape=4, MAD=0)</t>
  </si>
  <si>
    <t>FRED FEDFUNDS</t>
  </si>
  <si>
    <t>solape=18, MAD=0, corr=1.00</t>
  </si>
  <si>
    <t>sin datos nuevos ni revisiones | FRED FEDFUNDS: OK hasta 2026-09 (solape=18, MAD=0, corr=1.00)</t>
  </si>
  <si>
    <t>Celdas modificadas en esta corrida (nuevos datos y revisiones de la fuente)</t>
  </si>
  <si>
    <t>Celda</t>
  </si>
  <si>
    <t>Anterior</t>
  </si>
  <si>
    <t>Nuevo</t>
  </si>
  <si>
    <t>Tipo</t>
  </si>
  <si>
    <t>2025-01</t>
  </si>
  <si>
    <t>C70</t>
  </si>
  <si>
    <t>revision</t>
  </si>
  <si>
    <t>2025-02</t>
  </si>
  <si>
    <t>C71</t>
  </si>
  <si>
    <t>2025-03</t>
  </si>
  <si>
    <t>C72</t>
  </si>
  <si>
    <t>2025-04</t>
  </si>
  <si>
    <t>C73</t>
  </si>
  <si>
    <t>2025-05</t>
  </si>
  <si>
    <t>C74</t>
  </si>
  <si>
    <t>2025-06</t>
  </si>
  <si>
    <t>C75</t>
  </si>
  <si>
    <t>2025-07</t>
  </si>
  <si>
    <t>C76</t>
  </si>
  <si>
    <t>2025-08</t>
  </si>
  <si>
    <t>C77</t>
  </si>
  <si>
    <t>2025-09</t>
  </si>
  <si>
    <t>C78</t>
  </si>
  <si>
    <t>2025-10</t>
  </si>
  <si>
    <t>C79</t>
  </si>
  <si>
    <t>2025-11</t>
  </si>
  <si>
    <t>C80</t>
  </si>
  <si>
    <t>2025-12</t>
  </si>
  <si>
    <t>C81</t>
  </si>
  <si>
    <t>2026-01</t>
  </si>
  <si>
    <t>C82</t>
  </si>
  <si>
    <t>2026-02</t>
  </si>
  <si>
    <t>C83</t>
  </si>
  <si>
    <t>C84</t>
  </si>
  <si>
    <t>nuevo</t>
  </si>
  <si>
    <t>2026-04</t>
  </si>
  <si>
    <t>C85</t>
  </si>
  <si>
    <t>2026-05</t>
  </si>
  <si>
    <t>C86</t>
  </si>
  <si>
    <t>2026-06</t>
  </si>
  <si>
    <t>C87</t>
  </si>
  <si>
    <t>C88</t>
  </si>
  <si>
    <t>2024-01</t>
  </si>
  <si>
    <t>D58</t>
  </si>
  <si>
    <t>2024-02</t>
  </si>
  <si>
    <t>D59</t>
  </si>
  <si>
    <t>2024-03</t>
  </si>
  <si>
    <t>D60</t>
  </si>
  <si>
    <t>2024-04</t>
  </si>
  <si>
    <t>D61</t>
  </si>
  <si>
    <t>2024-05</t>
  </si>
  <si>
    <t>D62</t>
  </si>
  <si>
    <t>2024-06</t>
  </si>
  <si>
    <t>D63</t>
  </si>
  <si>
    <t>2024-07</t>
  </si>
  <si>
    <t>D64</t>
  </si>
  <si>
    <t>2024-08</t>
  </si>
  <si>
    <t>D65</t>
  </si>
  <si>
    <t>2024-09</t>
  </si>
  <si>
    <t>D66</t>
  </si>
  <si>
    <t>2024-10</t>
  </si>
  <si>
    <t>D67</t>
  </si>
  <si>
    <t>2024-11</t>
  </si>
  <si>
    <t>D68</t>
  </si>
  <si>
    <t>2024-12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</si>
  <si>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</si>
  <si>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</si>
  <si>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</si>
  <si>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</si>
  <si>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</si>
  <si>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</si>
  <si>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</si>
  <si>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</si>
  <si>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</si>
  <si>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</si>
  <si>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</si>
  <si>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</si>
  <si>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</si>
  <si>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</si>
  <si>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</si>
  <si>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</si>
  <si>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</si>
  <si>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</si>
  <si>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</si>
  <si>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</si>
  <si>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</si>
  <si>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E82</t>
  </si>
  <si>
    <t>MANUAL: DANE boletín técnico ISE jul-2026 (Cuadro 1, serie original revisada)</t>
  </si>
  <si>
    <t>E83</t>
  </si>
  <si>
    <t>E84</t>
  </si>
  <si>
    <t>E85</t>
  </si>
  <si>
    <t>E86</t>
  </si>
  <si>
    <t>E87</t>
  </si>
  <si>
    <t>E88</t>
  </si>
  <si>
    <t>F84</t>
  </si>
  <si>
    <t>MANUAL: INEGI boletines IGAE (Cuadro 2, cifras originales)</t>
  </si>
  <si>
    <t>F85</t>
  </si>
  <si>
    <t>F86</t>
  </si>
  <si>
    <t>F87</t>
  </si>
  <si>
    <t>F88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</si>
  <si>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</si>
  <si>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</si>
  <si>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</si>
  <si>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</si>
  <si>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</si>
  <si>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</si>
  <si>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</si>
  <si>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</si>
  <si>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</si>
  <si>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</si>
  <si>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</si>
  <si>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</si>
  <si>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</si>
  <si>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</si>
  <si>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C68</t>
  </si>
  <si>
    <t>C69</t>
  </si>
  <si>
    <t>MANUAL: DANE boletines EMC (ventas reales comercio minorista y vehículos, total)</t>
  </si>
  <si>
    <t>F82</t>
  </si>
  <si>
    <t>MANUAL: INEGI boletines EMEC (sector 46, cifras originales)</t>
  </si>
  <si>
    <t>F83</t>
  </si>
  <si>
    <t>BCB SGS 7341</t>
  </si>
  <si>
    <t>MANUAL: CNI ICEI Indústria Geral (resúmenes mensuales CNI/Abinee)</t>
  </si>
  <si>
    <t>E67</t>
  </si>
  <si>
    <t>MANUAL: Fedesarrollo ICCO vía prensa (La República, Valora Analitik, El Espectador, Forbes) normalizado (X+100)/2</t>
  </si>
  <si>
    <t>E68</t>
  </si>
  <si>
    <t>E69</t>
  </si>
  <si>
    <t>E70</t>
  </si>
  <si>
    <t>E71</t>
  </si>
  <si>
    <t>F68</t>
  </si>
  <si>
    <t>MANUAL: INEGI boletines ICE (Cuadro 5, manufacturas cifras originales)</t>
  </si>
  <si>
    <t>F69</t>
  </si>
  <si>
    <t>F70</t>
  </si>
  <si>
    <t>F71</t>
  </si>
  <si>
    <t>F72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</si>
  <si>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</si>
  <si>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</si>
  <si>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</si>
  <si>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</si>
  <si>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</si>
  <si>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</si>
  <si>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</si>
  <si>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</si>
  <si>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</si>
  <si>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</si>
  <si>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</si>
  <si>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</si>
  <si>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</si>
  <si>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</si>
  <si>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</si>
  <si>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</si>
  <si>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C89</t>
  </si>
  <si>
    <t>C90</t>
  </si>
  <si>
    <t>C91</t>
  </si>
  <si>
    <t>C92</t>
  </si>
  <si>
    <t>C93</t>
  </si>
  <si>
    <t>D90</t>
  </si>
  <si>
    <t>D91</t>
  </si>
  <si>
    <t>D92</t>
  </si>
  <si>
    <t>D93</t>
  </si>
  <si>
    <t>D94</t>
  </si>
  <si>
    <t>E89</t>
  </si>
  <si>
    <t>MANUAL: Fedesarrollo ICC vía prensa (El Espectador, abceconomia, Portafolio, La República) normalizado (X+100)/2</t>
  </si>
  <si>
    <t>E90</t>
  </si>
  <si>
    <t>E91</t>
  </si>
  <si>
    <t>E92</t>
  </si>
  <si>
    <t>E93</t>
  </si>
  <si>
    <t>E94</t>
  </si>
  <si>
    <t>F74</t>
  </si>
  <si>
    <t>MANUAL: INEGI BIE 454186 (ICC desestacionalizado; contrastado con boletín sep-26: 45.1)</t>
  </si>
  <si>
    <t>F75</t>
  </si>
  <si>
    <t>F76</t>
  </si>
  <si>
    <t>F77</t>
  </si>
  <si>
    <t>F78</t>
  </si>
  <si>
    <t>F79</t>
  </si>
  <si>
    <t>F80</t>
  </si>
  <si>
    <t>F81</t>
  </si>
  <si>
    <t>F89</t>
  </si>
  <si>
    <t>F90</t>
  </si>
  <si>
    <t>F91</t>
  </si>
  <si>
    <t>F92</t>
  </si>
  <si>
    <t>F93</t>
  </si>
  <si>
    <t>F94</t>
  </si>
  <si>
    <t>G89</t>
  </si>
  <si>
    <t>G90</t>
  </si>
  <si>
    <t>G91</t>
  </si>
  <si>
    <t>G92</t>
  </si>
  <si>
    <t>G93</t>
  </si>
  <si>
    <t>G94</t>
  </si>
  <si>
    <t>H86</t>
  </si>
  <si>
    <t>H87</t>
  </si>
  <si>
    <t>H88</t>
  </si>
  <si>
    <t>H89</t>
  </si>
  <si>
    <t>H90</t>
  </si>
  <si>
    <t>H91</t>
  </si>
  <si>
    <t>H92</t>
  </si>
  <si>
    <t>H93</t>
  </si>
  <si>
    <t>E80</t>
  </si>
  <si>
    <t>Última actualización automática: 19-Oct-2026 14:21 (python -m monitor)</t>
  </si>
  <si>
    <t>1. Doble clic en run.bat (o en VS Code: Terminal &gt; Run Task &gt; Actualizar Monitor).</t>
  </si>
  <si>
    <t>2. El código descarga cada serie de su fuente oficial, la valida contra el histórico y la escribe aquí.</t>
  </si>
  <si>
    <t>3. Heatmaps (ventana móvil), promedios y gráficos se ajustan solos al último mes con dato.</t>
  </si>
  <si>
    <t>4. Revisa la hoja Log_Actualizacion: estado por serie, fuente usada y celdas que cambiaron.</t>
  </si>
  <si>
    <t>5. Si una fuente falla, escribe el dato en data/manual_inputs.csv y vuelve a correr.</t>
  </si>
  <si>
    <t>6. Las celdas en AMARILLO son meses aún no publicados; texto NARANJA = dato manual/noticias por verificar.</t>
  </si>
  <si>
    <t>Dato oficial: descargado automáticamente de la fuente por el código (o verificado en ella).</t>
  </si>
  <si>
    <t>Texto NARANJA</t>
  </si>
  <si>
    <t>Dato manual sin verificar o extraído de titulares de prensa: confirmar contra el comunicado oficial.</t>
  </si>
  <si>
    <t>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</si>
</sst>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%;[Red]\(0.00%\);\-"/>
    <numFmt numFmtId="165" formatCode="0.00;[Red]\(0.00\);\-"/>
    <numFmt numFmtId="166" formatCode="0.0%;[Red]\(0.0%\);\-"/>
    <numFmt numFmtId="167" formatCode="0.0;[Red]\(0.0\);\-"/>
    <numFmt numFmtId="168" formatCode="0.0"/>
    <numFmt numFmtId="169" formatCode="0&quot;E&quot;"/>
    <numFmt numFmtId="170" formatCode="0.0%"/>
    <numFmt numFmtId="171" formatCode="#,##0.0&quot;x&quot;_)"/>
    <numFmt numFmtId="172" formatCode="dd-mmm-yy"/>
    <numFmt numFmtId="173" formatCode="0.00%;[Red]-0.00%"/>
    <numFmt numFmtId="174" formatCode="0.00;[Red]-0.00"/>
    <numFmt numFmtId="175" formatCode="+0.00&quot; pp&quot;;[Red]-0.00&quot; pp&quot;"/>
    <numFmt numFmtId="176" formatCode="+0.00&quot; pts&quot;;[Red]-0.00&quot; pts&quot;"/>
  </numFmts>
  <fonts count="61" x14ac:knownFonts="1">
    <font>
      <sz val="11"/>
      <color theme="1"/>
      <name val="Calibri"/>
      <family val="2"/>
      <charset val="1"/>
    </font>
    <font>
      <i/>
      <sz val="11"/>
      <color rgb="FF59595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sz val="10"/>
      <color rgb="FF7030A0"/>
      <name val="Arial"/>
      <family val="2"/>
    </font>
    <font>
      <sz val="10"/>
      <color rgb="FF0000FF"/>
      <name val="Arial"/>
      <family val="2"/>
    </font>
    <font>
      <i/>
      <sz val="10"/>
      <color rgb="FF595959"/>
      <name val="Arial"/>
      <family val="2"/>
    </font>
    <font>
      <u/>
      <sz val="11"/>
      <color theme="10"/>
      <name val="Calibri"/>
      <family val="2"/>
      <charset val="1"/>
    </font>
    <font>
      <b/>
      <sz val="13.5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1"/>
      <color theme="1"/>
      <name val="Arial"/>
      <family val="2"/>
      <scheme val="major"/>
    </font>
    <font>
      <i/>
      <sz val="11"/>
      <color rgb="FF595959"/>
      <name val="Arial"/>
      <family val="2"/>
      <scheme val="major"/>
    </font>
    <font>
      <b/>
      <sz val="11"/>
      <color rgb="FFFFFFFF"/>
      <name val="Arial"/>
      <family val="2"/>
      <scheme val="major"/>
    </font>
    <font>
      <b/>
      <sz val="10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rgb="FF7030A0"/>
      <name val="Arial"/>
      <family val="2"/>
      <scheme val="major"/>
    </font>
    <font>
      <sz val="10"/>
      <color rgb="FF0000FF"/>
      <name val="Arial"/>
      <family val="2"/>
      <scheme val="major"/>
    </font>
    <font>
      <sz val="10"/>
      <name val="Arial"/>
      <family val="2"/>
      <scheme val="major"/>
    </font>
    <font>
      <i/>
      <sz val="10"/>
      <color rgb="FF595959"/>
      <name val="Arial"/>
      <family val="2"/>
      <scheme val="major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0"/>
      <name val="Arial"/>
      <family val="2"/>
    </font>
    <font>
      <b/>
      <sz val="22"/>
      <color rgb="FF1F3864"/>
      <name val="Sura Sans"/>
      <family val="3"/>
    </font>
    <font>
      <sz val="11"/>
      <color theme="1"/>
      <name val="Sura Sans"/>
      <family val="3"/>
    </font>
    <font>
      <i/>
      <sz val="11"/>
      <color rgb="FF595959"/>
      <name val="Sura Sans"/>
      <family val="3"/>
    </font>
    <font>
      <i/>
      <sz val="9"/>
      <color rgb="FF808080"/>
      <name val="Sura Sans"/>
      <family val="3"/>
    </font>
    <font>
      <b/>
      <sz val="12"/>
      <name val="Sura Sans"/>
      <family val="3"/>
    </font>
    <font>
      <b/>
      <sz val="10"/>
      <color rgb="FF0000FF"/>
      <name val="Sura Sans"/>
      <family val="3"/>
    </font>
    <font>
      <sz val="10"/>
      <name val="Sura Sans"/>
      <family val="3"/>
    </font>
    <font>
      <b/>
      <sz val="10"/>
      <color rgb="FF008000"/>
      <name val="Sura Sans"/>
      <family val="3"/>
    </font>
    <font>
      <b/>
      <sz val="10"/>
      <color rgb="FF7030A0"/>
      <name val="Sura Sans"/>
      <family val="3"/>
    </font>
    <font>
      <b/>
      <sz val="10"/>
      <color rgb="FFFFF2CC"/>
      <name val="Sura Sans"/>
      <family val="3"/>
    </font>
    <font>
      <b/>
      <sz val="10"/>
      <color rgb="FF000000"/>
      <name val="Sura Sans"/>
      <family val="3"/>
    </font>
    <font>
      <b/>
      <sz val="10"/>
      <color rgb="FFFFFFFF"/>
      <name val="Sura Sans"/>
      <family val="3"/>
    </font>
    <font>
      <b/>
      <sz val="10"/>
      <name val="Sura Sans"/>
      <family val="3"/>
    </font>
    <font>
      <b/>
      <sz val="10"/>
      <color rgb="FFC00000"/>
      <name val="Sura Sans"/>
      <family val="3"/>
    </font>
    <font>
      <b/>
      <sz val="16"/>
      <color theme="8"/>
      <name val="Arial"/>
      <family val="2"/>
    </font>
    <font>
      <b/>
      <sz val="12"/>
      <color theme="8"/>
      <name val="Arial"/>
      <family val="2"/>
    </font>
    <font>
      <b/>
      <sz val="16"/>
      <color theme="8"/>
      <name val="Arial"/>
      <family val="2"/>
      <scheme val="major"/>
    </font>
    <font>
      <b/>
      <sz val="12"/>
      <color theme="8"/>
      <name val="Arial"/>
      <family val="2"/>
      <scheme val="major"/>
    </font>
    <font>
      <b/>
      <sz val="12"/>
      <color theme="4"/>
      <name val="Sura Sans"/>
      <family val="3"/>
    </font>
    <font>
      <b/>
      <sz val="11"/>
      <color rgb="FFFFFFFF"/>
      <name val="Sura Sans"/>
      <family val="3"/>
    </font>
    <font>
      <b/>
      <sz val="11"/>
      <color theme="1"/>
      <name val="Calibri"/>
      <family val="2"/>
    </font>
    <font>
      <sz val="10"/>
      <color rgb="FF008000"/>
      <name val="Arial"/>
      <family val="2"/>
      <scheme val="major"/>
    </font>
    <font>
      <sz val="10"/>
      <color rgb="FFC55A11"/>
      <name val="Arial"/>
      <family val="2"/>
    </font>
    <font>
      <sz val="11"/>
      <color rgb="FF008000"/>
      <name val="Calibri"/>
      <family val="2"/>
      <charset val="1"/>
    </font>
    <font>
      <b/>
      <sz val="14"/>
      <color rgb="FF002060"/>
      <name val="Arial"/>
      <family val="2"/>
    </font>
    <font>
      <i/>
      <sz val="9"/>
      <color rgb="FF59595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u/>
      <sz val="9"/>
      <color rgb="FF0563C1"/>
      <name val="Arial"/>
      <family val="2"/>
    </font>
    <font>
      <b/>
      <sz val="9"/>
      <color rgb="FF008000"/>
      <name val="Arial"/>
      <family val="2"/>
    </font>
    <font>
      <b/>
      <sz val="9"/>
      <color rgb="FFC55A11"/>
      <name val="Arial"/>
      <family val="2"/>
    </font>
    <font>
      <b/>
      <sz val="9"/>
      <color rgb="FFC00000"/>
      <name val="Arial"/>
      <family val="2"/>
    </font>
    <font>
      <b/>
      <sz val="10"/>
      <color rgb="FFC55A11"/>
      <name val="Sura San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8"/>
        <bgColor rgb="FF333399"/>
      </patternFill>
    </fill>
    <fill>
      <patternFill patternType="solid">
        <fgColor theme="9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3" fillId="0" borderId="0" xfId="0" applyFont="1"/>
    <xf numFmtId="164" fontId="5" fillId="0" borderId="0" xfId="0" applyNumberFormat="1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1"/>
    <xf numFmtId="2" fontId="0" fillId="0" borderId="0" xfId="0" applyNumberFormat="1" applyAlignment="1">
      <alignment horizontal="centerContinuous"/>
    </xf>
    <xf numFmtId="166" fontId="5" fillId="0" borderId="0" xfId="0" applyNumberFormat="1" applyFont="1" applyAlignment="1">
      <alignment horizontal="center" vertical="center"/>
    </xf>
    <xf numFmtId="0" fontId="12" fillId="0" borderId="0" xfId="1" applyFont="1"/>
    <xf numFmtId="0" fontId="0" fillId="0" borderId="0" xfId="0" applyAlignment="1">
      <alignment horizontal="centerContinuous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centerContinuous"/>
    </xf>
    <xf numFmtId="17" fontId="14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0" fontId="17" fillId="0" borderId="0" xfId="0" applyFont="1"/>
    <xf numFmtId="166" fontId="18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168" fontId="0" fillId="0" borderId="0" xfId="0" applyNumberFormat="1"/>
    <xf numFmtId="40" fontId="0" fillId="0" borderId="0" xfId="0" applyNumberFormat="1" applyAlignment="1">
      <alignment horizontal="centerContinuous"/>
    </xf>
    <xf numFmtId="0" fontId="27" fillId="5" borderId="0" xfId="0" applyFont="1" applyFill="1" applyAlignment="1">
      <alignment horizontal="center"/>
    </xf>
    <xf numFmtId="169" fontId="27" fillId="5" borderId="0" xfId="0" applyNumberFormat="1" applyFont="1" applyFill="1" applyAlignment="1">
      <alignment horizontal="center"/>
    </xf>
    <xf numFmtId="170" fontId="0" fillId="0" borderId="0" xfId="2" applyNumberFormat="1" applyFont="1"/>
    <xf numFmtId="171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9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2" borderId="0" xfId="0" applyFont="1" applyFill="1"/>
    <xf numFmtId="0" fontId="38" fillId="0" borderId="0" xfId="0" applyFont="1"/>
    <xf numFmtId="0" fontId="32" fillId="0" borderId="0" xfId="0" applyFont="1"/>
    <xf numFmtId="0" fontId="34" fillId="0" borderId="0" xfId="0" applyFont="1"/>
    <xf numFmtId="0" fontId="39" fillId="3" borderId="0" xfId="0" applyFont="1" applyFill="1" applyAlignment="1">
      <alignment horizontal="center" vertical="center"/>
    </xf>
    <xf numFmtId="0" fontId="40" fillId="0" borderId="0" xfId="0" applyFont="1"/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2" fillId="0" borderId="0" xfId="0" applyFont="1"/>
    <xf numFmtId="0" fontId="43" fillId="0" borderId="0" xfId="0" applyFont="1"/>
    <xf numFmtId="0" fontId="44" fillId="0" borderId="0" xfId="0" applyFont="1"/>
    <xf numFmtId="0" fontId="16" fillId="6" borderId="0" xfId="0" applyFont="1" applyFill="1" applyAlignment="1">
      <alignment horizontal="center" vertical="center"/>
    </xf>
    <xf numFmtId="0" fontId="45" fillId="0" borderId="0" xfId="0" applyFont="1"/>
    <xf numFmtId="2" fontId="46" fillId="0" borderId="0" xfId="0" applyNumberFormat="1" applyFont="1" applyAlignment="1">
      <alignment horizontal="centerContinuous"/>
    </xf>
    <xf numFmtId="166" fontId="3" fillId="4" borderId="2" xfId="0" applyNumberFormat="1" applyFont="1" applyFill="1" applyBorder="1" applyAlignment="1">
      <alignment horizontal="center" vertical="center"/>
    </xf>
    <xf numFmtId="166" fontId="3" fillId="4" borderId="3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49" fontId="13" fillId="7" borderId="0" xfId="0" applyNumberFormat="1" applyFont="1" applyFill="1" applyAlignment="1">
      <alignment horizontal="center" vertical="center"/>
    </xf>
    <xf numFmtId="167" fontId="24" fillId="0" borderId="2" xfId="0" applyNumberFormat="1" applyFont="1" applyBorder="1" applyAlignment="1">
      <alignment horizontal="center" vertical="center"/>
    </xf>
    <xf numFmtId="167" fontId="24" fillId="0" borderId="3" xfId="0" applyNumberFormat="1" applyFont="1" applyBorder="1" applyAlignment="1">
      <alignment horizontal="center" vertical="center"/>
    </xf>
    <xf numFmtId="40" fontId="46" fillId="0" borderId="0" xfId="0" applyNumberFormat="1" applyFont="1" applyAlignment="1">
      <alignment horizontal="centerContinuous"/>
    </xf>
    <xf numFmtId="164" fontId="3" fillId="4" borderId="2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5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vertical="center" wrapText="1"/>
    </xf>
    <xf numFmtId="0" fontId="47" fillId="6" borderId="0" xfId="0" applyFont="1" applyFill="1" applyAlignment="1">
      <alignment horizontal="center" vertical="center"/>
    </xf>
    <xf numFmtId="0" fontId="48" fillId="0" borderId="0" xfId="0" applyFont="1"/>
    <xf numFmtId="10" fontId="0" fillId="0" borderId="0" xfId="2" applyNumberFormat="1" applyFont="1"/>
    <xf numFmtId="164" fontId="6" fillId="0" borderId="0" xfId="0" applyNumberFormat="1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4" fontId="49" fillId="0" borderId="0" xfId="0" applyNumberFormat="1" applyFont="1" applyAlignment="1">
      <alignment horizontal="center" vertical="center"/>
    </xf>
    <xf numFmtId="164" fontId="49" fillId="0" borderId="0" xfId="0" applyNumberFormat="1" applyFont="1" applyFill="1" applyAlignment="1">
      <alignment horizontal="center" vertical="center"/>
    </xf>
    <xf numFmtId="165" fontId="6" fillId="0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50" fillId="0" borderId="0" xfId="0" applyNumberFormat="1" applyFont="1" applyFill="1" applyAlignment="1">
      <alignment horizontal="center" vertical="center"/>
    </xf>
    <xf numFmtId="10" fontId="51" fillId="0" borderId="0" xfId="2" applyNumberFormat="1" applyFont="1"/>
    <xf numFmtId="0" fontId="52" fillId="0" borderId="0" xfId="0" applyFont="1" applyNumberFormat="1" applyAlignment="1">
      <alignment vertical="top"/>
    </xf>
    <xf numFmtId="0" fontId="53" fillId="0" borderId="0" xfId="0" applyFont="1" applyNumberFormat="1" applyAlignment="1">
      <alignment vertical="top"/>
    </xf>
    <xf numFmtId="0" fontId="4" fillId="8" borderId="0" xfId="0" applyFont="1" applyNumberFormat="1" applyFill="1" applyAlignment="1">
      <alignment vertical="center"/>
    </xf>
    <xf numFmtId="0" fontId="54" fillId="9" borderId="4" xfId="0" applyFont="1" applyNumberFormat="1" applyFill="1" applyBorder="1" applyAlignment="1">
      <alignment wrapText="1" vertical="center"/>
    </xf>
    <xf numFmtId="0" fontId="55" fillId="0" borderId="4" xfId="0" applyFont="1" applyNumberFormat="1" applyBorder="1" applyAlignment="1">
      <alignment wrapText="1" vertical="top"/>
    </xf>
    <xf numFmtId="0" fontId="55" fillId="0" borderId="0" xfId="0" applyFont="1" applyNumberFormat="1" applyAlignment="1">
      <alignment wrapText="1" vertical="top"/>
    </xf>
    <xf numFmtId="0" fontId="54" fillId="0" borderId="4" xfId="0" applyFont="1" applyNumberFormat="1" applyBorder="1" applyAlignment="1">
      <alignment wrapText="1" vertical="top"/>
    </xf>
    <xf numFmtId="0" fontId="56" fillId="0" borderId="4" xfId="0" applyFont="1" applyNumberFormat="1" applyBorder="1" applyAlignment="1">
      <alignment wrapText="1" vertical="top"/>
    </xf>
    <xf numFmtId="172" fontId="55" fillId="0" borderId="4" xfId="0" applyFont="1" applyNumberFormat="1" applyBorder="1" applyAlignment="1">
      <alignment horizontal="center" vertical="top"/>
    </xf>
    <xf numFmtId="173" fontId="55" fillId="0" borderId="4" xfId="0" applyFont="1" applyNumberFormat="1" applyBorder="1" applyAlignment="1">
      <alignment horizontal="center" vertical="top"/>
    </xf>
    <xf numFmtId="174" fontId="55" fillId="0" borderId="4" xfId="0" applyFont="1" applyNumberFormat="1" applyBorder="1" applyAlignment="1">
      <alignment horizontal="center" vertical="top"/>
    </xf>
    <xf numFmtId="175" fontId="55" fillId="0" borderId="4" xfId="0" applyFont="1" applyNumberFormat="1" applyBorder="1" applyAlignment="1">
      <alignment horizontal="center" vertical="top"/>
    </xf>
    <xf numFmtId="176" fontId="55" fillId="0" borderId="4" xfId="0" applyFont="1" applyNumberFormat="1" applyBorder="1" applyAlignment="1">
      <alignment horizontal="center" vertical="top"/>
    </xf>
    <xf numFmtId="0" fontId="57" fillId="0" borderId="4" xfId="0" applyFont="1" applyNumberFormat="1" applyBorder="1" applyAlignment="1">
      <alignment horizontal="center" vertical="top"/>
    </xf>
    <xf numFmtId="0" fontId="58" fillId="0" borderId="4" xfId="0" applyFont="1" applyNumberFormat="1" applyBorder="1" applyAlignment="1">
      <alignment horizontal="center" vertical="top"/>
    </xf>
    <xf numFmtId="0" fontId="59" fillId="0" borderId="4" xfId="0" applyFont="1" applyNumberFormat="1" applyBorder="1" applyAlignment="1">
      <alignment horizontal="center" vertical="top"/>
    </xf>
    <xf numFmtId="0" fontId="5" fillId="10" borderId="0" xfId="0" applyFont="1" applyNumberFormat="1" applyFill="1" applyAlignment="1">
      <alignment wrapText="1" vertical="top"/>
    </xf>
    <xf numFmtId="0" fontId="60" fillId="0" borderId="0" xfId="0" applyFont="1"/>
    <xf numFmtId="0" fontId="60" fillId="0" borderId="0" xfId="0" applyFont="1" applyAlignment="1">
      <alignment horizontal="center"/>
    </xf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2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878787"/>
      <rgbColor rgb="FF1F3864"/>
      <rgbColor rgb="FF339966"/>
      <rgbColor rgb="FF003300"/>
      <rgbColor rgb="FF333300"/>
      <rgbColor rgb="FF993300"/>
      <rgbColor rgb="FF7030A0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1C5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/>
            </a:pPr>
            <a:r>
              <a:rPr lang="es-CO" sz="1800"/>
              <a:t>Actividad Económica - Var YoY 12M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'1_Actividad_Economica'!$C$23</c:f>
              <c:strCache>
                <c:ptCount val="1"/>
                <c:pt idx="0">
                  <c:v>BRASIL</c:v>
                </c:pt>
              </c:strCache>
            </c:strRef>
          </c:tx>
          <c:spPr>
            <a:ln w="28440">
              <a:solidFill>
                <a:srgbClr val="51C5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'1_Actividad_Economica'!$B$24:$B$89</c:f>
              <c:numCache>
                <c:formatCode>mmm\-yy</c:formatCode>
                <c:ptCount val="66"/>
                <c:pt idx="0">
                  <c:v>44256.0</c:v>
                </c:pt>
                <c:pt idx="1">
                  <c:v>44287.0</c:v>
                </c:pt>
                <c:pt idx="2">
                  <c:v>44317.0</c:v>
                </c:pt>
                <c:pt idx="3">
                  <c:v>44348.0</c:v>
                </c:pt>
                <c:pt idx="4">
                  <c:v>44378.0</c:v>
                </c:pt>
                <c:pt idx="5">
                  <c:v>44409.0</c:v>
                </c:pt>
                <c:pt idx="6">
                  <c:v>44440.0</c:v>
                </c:pt>
                <c:pt idx="7">
                  <c:v>44470.0</c:v>
                </c:pt>
                <c:pt idx="8">
                  <c:v>44501.0</c:v>
                </c:pt>
                <c:pt idx="9">
                  <c:v>44531.0</c:v>
                </c:pt>
                <c:pt idx="10">
                  <c:v>44562.0</c:v>
                </c:pt>
                <c:pt idx="11">
                  <c:v>44593.0</c:v>
                </c:pt>
                <c:pt idx="12">
                  <c:v>44621.0</c:v>
                </c:pt>
                <c:pt idx="13">
                  <c:v>44652.0</c:v>
                </c:pt>
                <c:pt idx="14">
                  <c:v>44682.0</c:v>
                </c:pt>
                <c:pt idx="15">
                  <c:v>44713.0</c:v>
                </c:pt>
                <c:pt idx="16">
                  <c:v>44743.0</c:v>
                </c:pt>
                <c:pt idx="17">
                  <c:v>44774.0</c:v>
                </c:pt>
                <c:pt idx="18">
                  <c:v>44805.0</c:v>
                </c:pt>
                <c:pt idx="19">
                  <c:v>44835.0</c:v>
                </c:pt>
                <c:pt idx="20">
                  <c:v>44866.0</c:v>
                </c:pt>
                <c:pt idx="21">
                  <c:v>44896.0</c:v>
                </c:pt>
                <c:pt idx="22">
                  <c:v>44927.0</c:v>
                </c:pt>
                <c:pt idx="23">
                  <c:v>44958.0</c:v>
                </c:pt>
                <c:pt idx="24">
                  <c:v>44986.0</c:v>
                </c:pt>
                <c:pt idx="25">
                  <c:v>45017.0</c:v>
                </c:pt>
                <c:pt idx="26">
                  <c:v>45047.0</c:v>
                </c:pt>
                <c:pt idx="27">
                  <c:v>45078.0</c:v>
                </c:pt>
                <c:pt idx="28">
                  <c:v>45108.0</c:v>
                </c:pt>
                <c:pt idx="29">
                  <c:v>45139.0</c:v>
                </c:pt>
                <c:pt idx="30">
                  <c:v>45170.0</c:v>
                </c:pt>
                <c:pt idx="31">
                  <c:v>45200.0</c:v>
                </c:pt>
                <c:pt idx="32">
                  <c:v>45231.0</c:v>
                </c:pt>
                <c:pt idx="33">
                  <c:v>45261.0</c:v>
                </c:pt>
                <c:pt idx="34">
                  <c:v>45292.0</c:v>
                </c:pt>
                <c:pt idx="35">
                  <c:v>45323.0</c:v>
                </c:pt>
                <c:pt idx="36">
                  <c:v>45352.0</c:v>
                </c:pt>
                <c:pt idx="37">
                  <c:v>45383.0</c:v>
                </c:pt>
                <c:pt idx="38">
                  <c:v>45413.0</c:v>
                </c:pt>
                <c:pt idx="39">
                  <c:v>45444.0</c:v>
                </c:pt>
                <c:pt idx="40">
                  <c:v>45474.0</c:v>
                </c:pt>
                <c:pt idx="41">
                  <c:v>45505.0</c:v>
                </c:pt>
                <c:pt idx="42">
                  <c:v>45536.0</c:v>
                </c:pt>
                <c:pt idx="43">
                  <c:v>45566.0</c:v>
                </c:pt>
                <c:pt idx="44">
                  <c:v>45597.0</c:v>
                </c:pt>
                <c:pt idx="45">
                  <c:v>45627.0</c:v>
                </c:pt>
                <c:pt idx="46">
                  <c:v>45658.0</c:v>
                </c:pt>
                <c:pt idx="47">
                  <c:v>45689.0</c:v>
                </c:pt>
                <c:pt idx="48">
                  <c:v>45717.0</c:v>
                </c:pt>
                <c:pt idx="49">
                  <c:v>45748.0</c:v>
                </c:pt>
                <c:pt idx="50">
                  <c:v>45778.0</c:v>
                </c:pt>
                <c:pt idx="51">
                  <c:v>45809.0</c:v>
                </c:pt>
                <c:pt idx="52">
                  <c:v>45839.0</c:v>
                </c:pt>
                <c:pt idx="53">
                  <c:v>45870.0</c:v>
                </c:pt>
                <c:pt idx="54">
                  <c:v>45901.0</c:v>
                </c:pt>
                <c:pt idx="55">
                  <c:v>45931.0</c:v>
                </c:pt>
                <c:pt idx="56">
                  <c:v>45962.0</c:v>
                </c:pt>
                <c:pt idx="57">
                  <c:v>45992.0</c:v>
                </c:pt>
                <c:pt idx="58">
                  <c:v>46023.0</c:v>
                </c:pt>
                <c:pt idx="59">
                  <c:v>46054.0</c:v>
                </c:pt>
                <c:pt idx="60">
                  <c:v>46082.0</c:v>
                </c:pt>
                <c:pt idx="61">
                  <c:v>46113.0</c:v>
                </c:pt>
                <c:pt idx="62">
                  <c:v>46143.0</c:v>
                </c:pt>
                <c:pt idx="63">
                  <c:v>46174.0</c:v>
                </c:pt>
                <c:pt idx="64">
                  <c:v>46204.0</c:v>
                </c:pt>
                <c:pt idx="65">
                  <c:v>46235.0</c:v>
                </c:pt>
              </c:numCache>
            </c:numRef>
          </c:cat>
          <c:val>
            <c:numRef>
              <c:f>'1_Actividad_Economica'!$C$24:$C$89</c:f>
              <c:numCache>
                <c:formatCode>0.00%;[Red]\(0.00%\);\-</c:formatCode>
                <c:ptCount val="66"/>
                <c:pt idx="0">
                  <c:v>0.0610878690944701</c:v>
                </c:pt>
                <c:pt idx="1">
                  <c:v>0.163384139234623</c:v>
                </c:pt>
                <c:pt idx="2">
                  <c:v>0.139702053929186</c:v>
                </c:pt>
                <c:pt idx="3">
                  <c:v>0.0840058139404072</c:v>
                </c:pt>
                <c:pt idx="4">
                  <c:v>0.0449501695747725</c:v>
                </c:pt>
                <c:pt idx="5">
                  <c:v>0.0441404404608277</c:v>
                </c:pt>
                <c:pt idx="6">
                  <c:v>0.0125600999923603</c:v>
                </c:pt>
                <c:pt idx="7">
                  <c:v>-0.0139897845129486</c:v>
                </c:pt>
                <c:pt idx="8">
                  <c:v>0.013290417073959</c:v>
                </c:pt>
                <c:pt idx="9">
                  <c:v>0.0185802952795475</c:v>
                </c:pt>
                <c:pt idx="10">
                  <c:v>-0.00104320741611985</c:v>
                </c:pt>
                <c:pt idx="11">
                  <c:v>0.0179731760429231</c:v>
                </c:pt>
                <c:pt idx="12">
                  <c:v>0.0348192219408063</c:v>
                </c:pt>
                <c:pt idx="13">
                  <c:v>0.0298437503857176</c:v>
                </c:pt>
                <c:pt idx="14">
                  <c:v>0.0386547824145505</c:v>
                </c:pt>
                <c:pt idx="15">
                  <c:v>0.0300493809171845</c:v>
                </c:pt>
                <c:pt idx="16">
                  <c:v>0.0423160340300952</c:v>
                </c:pt>
                <c:pt idx="17">
                  <c:v>0.0542762278704942</c:v>
                </c:pt>
                <c:pt idx="18">
                  <c:v>0.0423606689715814</c:v>
                </c:pt>
                <c:pt idx="19">
                  <c:v>0.0386162885424906</c:v>
                </c:pt>
                <c:pt idx="20">
                  <c:v>0.0129396887925539</c:v>
                </c:pt>
                <c:pt idx="21">
                  <c:v>0.00677139150771455</c:v>
                </c:pt>
                <c:pt idx="22">
                  <c:v>0.037448177300623</c:v>
                </c:pt>
                <c:pt idx="23">
                  <c:v>0.032039658212953</c:v>
                </c:pt>
                <c:pt idx="24">
                  <c:v>0.0585747971046806</c:v>
                </c:pt>
                <c:pt idx="25">
                  <c:v>0.0380846282680241</c:v>
                </c:pt>
                <c:pt idx="26">
                  <c:v>0.0303524829046271</c:v>
                </c:pt>
                <c:pt idx="27">
                  <c:v>0.0299722334533941</c:v>
                </c:pt>
                <c:pt idx="28">
                  <c:v>0.013165815781268</c:v>
                </c:pt>
                <c:pt idx="29">
                  <c:v>0.0146448772251226</c:v>
                </c:pt>
                <c:pt idx="30">
                  <c:v>0.00619478871199086</c:v>
                </c:pt>
                <c:pt idx="31">
                  <c:v>0.0178847583528077</c:v>
                </c:pt>
                <c:pt idx="32">
                  <c:v>0.0264178496004097</c:v>
                </c:pt>
                <c:pt idx="33">
                  <c:v>0.0171351965185163</c:v>
                </c:pt>
                <c:pt idx="34">
                  <c:v>0.0426221741898234</c:v>
                </c:pt>
                <c:pt idx="35">
                  <c:v>0.0357307573646744</c:v>
                </c:pt>
                <c:pt idx="36">
                  <c:v>-0.00983284240142213</c:v>
                </c:pt>
                <c:pt idx="37">
                  <c:v>0.0509093340658358</c:v>
                </c:pt>
                <c:pt idx="38">
                  <c:v>0.0188503579087656</c:v>
                </c:pt>
                <c:pt idx="39">
                  <c:v>0.0345184532319385</c:v>
                </c:pt>
                <c:pt idx="40">
                  <c:v>0.0588137043439707</c:v>
                </c:pt>
                <c:pt idx="41">
                  <c:v>0.0379441794149984</c:v>
                </c:pt>
                <c:pt idx="42">
                  <c:v>0.0524996211489124</c:v>
                </c:pt>
                <c:pt idx="43">
                  <c:v>0.0711265883778158</c:v>
                </c:pt>
                <c:pt idx="44">
                  <c:v>0.0371776687493115</c:v>
                </c:pt>
                <c:pt idx="45">
                  <c:v>0.0241291426212791</c:v>
                </c:pt>
                <c:pt idx="46">
                  <c:v>0.033553171192</c:v>
                </c:pt>
                <c:pt idx="47">
                  <c:v>0.045411926081</c:v>
                </c:pt>
                <c:pt idx="48">
                  <c:v>0.040359053791</c:v>
                </c:pt>
                <c:pt idx="49">
                  <c:v>0.030652912809</c:v>
                </c:pt>
                <c:pt idx="50">
                  <c:v>0.036959402721</c:v>
                </c:pt>
                <c:pt idx="51">
                  <c:v>0.014467181659</c:v>
                </c:pt>
                <c:pt idx="52">
                  <c:v>0.015209186514</c:v>
                </c:pt>
                <c:pt idx="53">
                  <c:v>0.002888355213</c:v>
                </c:pt>
                <c:pt idx="54">
                  <c:v>0.022422198465</c:v>
                </c:pt>
                <c:pt idx="55">
                  <c:v>0.008224946173</c:v>
                </c:pt>
                <c:pt idx="56">
                  <c:v>0.010512757</c:v>
                </c:pt>
                <c:pt idx="57">
                  <c:v>0.029058687954</c:v>
                </c:pt>
                <c:pt idx="58">
                  <c:v>0.011251972026</c:v>
                </c:pt>
                <c:pt idx="59">
                  <c:v>-0.000278395602</c:v>
                </c:pt>
                <c:pt idx="60">
                  <c:v>0.035286822157</c:v>
                </c:pt>
                <c:pt idx="61">
                  <c:v>0.012360352238</c:v>
                </c:pt>
                <c:pt idx="62">
                  <c:v>0.009877301354</c:v>
                </c:pt>
                <c:pt idx="63">
                  <c:v>0.02361572927</c:v>
                </c:pt>
                <c:pt idx="64">
                  <c:v>0.01061552801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BA-488C-AAA3-08820DD28B42}"/>
            </c:ext>
          </c:extLst>
        </c:ser>
        <c:ser>
          <c:idx val="1"/>
          <c:order val="1"/>
          <c:tx>
            <c:strRef>
              <c:f>'1_Actividad_Economica'!$D$23</c:f>
              <c:strCache>
                <c:ptCount val="1"/>
                <c:pt idx="0">
                  <c:v>CHILE</c:v>
                </c:pt>
              </c:strCache>
            </c:strRef>
          </c:tx>
          <c:spPr>
            <a:ln w="28440">
              <a:solidFill>
                <a:schemeClr val="accent3">
                  <a:lumMod val="60000"/>
                  <a:lumOff val="40000"/>
                </a:schemeClr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'1_Actividad_Economica'!$B$24:$B$89</c:f>
              <c:numCache>
                <c:formatCode>mmm\-yy</c:formatCode>
                <c:ptCount val="66"/>
                <c:pt idx="0">
                  <c:v>44256.0</c:v>
                </c:pt>
                <c:pt idx="1">
                  <c:v>44287.0</c:v>
                </c:pt>
                <c:pt idx="2">
                  <c:v>44317.0</c:v>
                </c:pt>
                <c:pt idx="3">
                  <c:v>44348.0</c:v>
                </c:pt>
                <c:pt idx="4">
                  <c:v>44378.0</c:v>
                </c:pt>
                <c:pt idx="5">
                  <c:v>44409.0</c:v>
                </c:pt>
                <c:pt idx="6">
                  <c:v>44440.0</c:v>
                </c:pt>
                <c:pt idx="7">
                  <c:v>44470.0</c:v>
                </c:pt>
                <c:pt idx="8">
                  <c:v>44501.0</c:v>
                </c:pt>
                <c:pt idx="9">
                  <c:v>44531.0</c:v>
                </c:pt>
                <c:pt idx="10">
                  <c:v>44562.0</c:v>
                </c:pt>
                <c:pt idx="11">
                  <c:v>44593.0</c:v>
                </c:pt>
                <c:pt idx="12">
                  <c:v>44621.0</c:v>
                </c:pt>
                <c:pt idx="13">
                  <c:v>44652.0</c:v>
                </c:pt>
                <c:pt idx="14">
                  <c:v>44682.0</c:v>
                </c:pt>
                <c:pt idx="15">
                  <c:v>44713.0</c:v>
                </c:pt>
                <c:pt idx="16">
                  <c:v>44743.0</c:v>
                </c:pt>
                <c:pt idx="17">
                  <c:v>44774.0</c:v>
                </c:pt>
                <c:pt idx="18">
                  <c:v>44805.0</c:v>
                </c:pt>
                <c:pt idx="19">
                  <c:v>44835.0</c:v>
                </c:pt>
                <c:pt idx="20">
                  <c:v>44866.0</c:v>
                </c:pt>
                <c:pt idx="21">
                  <c:v>44896.0</c:v>
                </c:pt>
                <c:pt idx="22">
                  <c:v>44927.0</c:v>
                </c:pt>
                <c:pt idx="23">
                  <c:v>44958.0</c:v>
                </c:pt>
                <c:pt idx="24">
                  <c:v>44986.0</c:v>
                </c:pt>
                <c:pt idx="25">
                  <c:v>45017.0</c:v>
                </c:pt>
                <c:pt idx="26">
                  <c:v>45047.0</c:v>
                </c:pt>
                <c:pt idx="27">
                  <c:v>45078.0</c:v>
                </c:pt>
                <c:pt idx="28">
                  <c:v>45108.0</c:v>
                </c:pt>
                <c:pt idx="29">
                  <c:v>45139.0</c:v>
                </c:pt>
                <c:pt idx="30">
                  <c:v>45170.0</c:v>
                </c:pt>
                <c:pt idx="31">
                  <c:v>45200.0</c:v>
                </c:pt>
                <c:pt idx="32">
                  <c:v>45231.0</c:v>
                </c:pt>
                <c:pt idx="33">
                  <c:v>45261.0</c:v>
                </c:pt>
                <c:pt idx="34">
                  <c:v>45292.0</c:v>
                </c:pt>
                <c:pt idx="35">
                  <c:v>45323.0</c:v>
                </c:pt>
                <c:pt idx="36">
                  <c:v>45352.0</c:v>
                </c:pt>
                <c:pt idx="37">
                  <c:v>45383.0</c:v>
                </c:pt>
                <c:pt idx="38">
                  <c:v>45413.0</c:v>
                </c:pt>
                <c:pt idx="39">
                  <c:v>45444.0</c:v>
                </c:pt>
                <c:pt idx="40">
                  <c:v>45474.0</c:v>
                </c:pt>
                <c:pt idx="41">
                  <c:v>45505.0</c:v>
                </c:pt>
                <c:pt idx="42">
                  <c:v>45536.0</c:v>
                </c:pt>
                <c:pt idx="43">
                  <c:v>45566.0</c:v>
                </c:pt>
                <c:pt idx="44">
                  <c:v>45597.0</c:v>
                </c:pt>
                <c:pt idx="45">
                  <c:v>45627.0</c:v>
                </c:pt>
                <c:pt idx="46">
                  <c:v>45658.0</c:v>
                </c:pt>
                <c:pt idx="47">
                  <c:v>45689.0</c:v>
                </c:pt>
                <c:pt idx="48">
                  <c:v>45717.0</c:v>
                </c:pt>
                <c:pt idx="49">
                  <c:v>45748.0</c:v>
                </c:pt>
                <c:pt idx="50">
                  <c:v>45778.0</c:v>
                </c:pt>
                <c:pt idx="51">
                  <c:v>45809.0</c:v>
                </c:pt>
                <c:pt idx="52">
                  <c:v>45839.0</c:v>
                </c:pt>
                <c:pt idx="53">
                  <c:v>45870.0</c:v>
                </c:pt>
                <c:pt idx="54">
                  <c:v>45901.0</c:v>
                </c:pt>
                <c:pt idx="55">
                  <c:v>45931.0</c:v>
                </c:pt>
                <c:pt idx="56">
                  <c:v>45962.0</c:v>
                </c:pt>
                <c:pt idx="57">
                  <c:v>45992.0</c:v>
                </c:pt>
                <c:pt idx="58">
                  <c:v>46023.0</c:v>
                </c:pt>
                <c:pt idx="59">
                  <c:v>46054.0</c:v>
                </c:pt>
                <c:pt idx="60">
                  <c:v>46082.0</c:v>
                </c:pt>
                <c:pt idx="61">
                  <c:v>46113.0</c:v>
                </c:pt>
                <c:pt idx="62">
                  <c:v>46143.0</c:v>
                </c:pt>
                <c:pt idx="63">
                  <c:v>46174.0</c:v>
                </c:pt>
                <c:pt idx="64">
                  <c:v>46204.0</c:v>
                </c:pt>
                <c:pt idx="65">
                  <c:v>46235.0</c:v>
                </c:pt>
              </c:numCache>
            </c:numRef>
          </c:cat>
          <c:val>
            <c:numRef>
              <c:f>'1_Actividad_Economica'!$D$24:$D$89</c:f>
              <c:numCache>
                <c:formatCode>0.00%;[Red]\(0.00%\);\-</c:formatCode>
                <c:ptCount val="66"/>
                <c:pt idx="0">
                  <c:v>0.0663274252500983</c:v>
                </c:pt>
                <c:pt idx="1">
                  <c:v>0.152850359609942</c:v>
                </c:pt>
                <c:pt idx="2">
                  <c:v>0.195518294172977</c:v>
                </c:pt>
                <c:pt idx="3">
                  <c:v>0.203824318799686</c:v>
                </c:pt>
                <c:pt idx="4">
                  <c:v>0.174249039320926</c:v>
                </c:pt>
                <c:pt idx="5">
                  <c:v>0.17966595780603398</c:v>
                </c:pt>
                <c:pt idx="6">
                  <c:v>0.134634429302366</c:v>
                </c:pt>
                <c:pt idx="7">
                  <c:v>0.132615574954851</c:v>
                </c:pt>
                <c:pt idx="8">
                  <c:v>0.133320372992065</c:v>
                </c:pt>
                <c:pt idx="9">
                  <c:v>0.0875116187227821</c:v>
                </c:pt>
                <c:pt idx="10">
                  <c:v>0.0720959669761507</c:v>
                </c:pt>
                <c:pt idx="11">
                  <c:v>0.0500543868701597</c:v>
                </c:pt>
                <c:pt idx="12">
                  <c:v>0.0566965502787736</c:v>
                </c:pt>
                <c:pt idx="13">
                  <c:v>0.0590485630044853</c:v>
                </c:pt>
                <c:pt idx="14">
                  <c:v>0.0558859181847444</c:v>
                </c:pt>
                <c:pt idx="15">
                  <c:v>0.027970632563751797</c:v>
                </c:pt>
                <c:pt idx="16">
                  <c:v>-0.004380842178881</c:v>
                </c:pt>
                <c:pt idx="17">
                  <c:v>0.006349071225317599</c:v>
                </c:pt>
                <c:pt idx="18">
                  <c:v>0.0017856372039134</c:v>
                </c:pt>
                <c:pt idx="19">
                  <c:v>-0.018790917978613</c:v>
                </c:pt>
                <c:pt idx="20">
                  <c:v>-0.02866486420366</c:v>
                </c:pt>
                <c:pt idx="21">
                  <c:v>-0.012635246838237</c:v>
                </c:pt>
                <c:pt idx="22">
                  <c:v>0.0135912623781745</c:v>
                </c:pt>
                <c:pt idx="23">
                  <c:v>0.0016342433643252998</c:v>
                </c:pt>
                <c:pt idx="24">
                  <c:v>-0.014905514158226002</c:v>
                </c:pt>
                <c:pt idx="25">
                  <c:v>-0.0049711935165639995</c:v>
                </c:pt>
                <c:pt idx="26">
                  <c:v>-0.005993594948202</c:v>
                </c:pt>
                <c:pt idx="27">
                  <c:v>0.0002746104305811</c:v>
                </c:pt>
                <c:pt idx="28">
                  <c:v>0.0291534132198115</c:v>
                </c:pt>
                <c:pt idx="29">
                  <c:v>0.0041833633693122005</c:v>
                </c:pt>
                <c:pt idx="30">
                  <c:v>0.0090236184963746</c:v>
                </c:pt>
                <c:pt idx="31">
                  <c:v>0.023886867770405898</c:v>
                </c:pt>
                <c:pt idx="32">
                  <c:v>0.0228134859619185</c:v>
                </c:pt>
                <c:pt idx="33">
                  <c:v>0.0054210593170122</c:v>
                </c:pt>
                <c:pt idx="34">
                  <c:v>0.037</c:v>
                </c:pt>
                <c:pt idx="35">
                  <c:v>0.058</c:v>
                </c:pt>
                <c:pt idx="36">
                  <c:v>0.012</c:v>
                </c:pt>
                <c:pt idx="37">
                  <c:v>0.039</c:v>
                </c:pt>
                <c:pt idx="38">
                  <c:v>0.003</c:v>
                </c:pt>
                <c:pt idx="39">
                  <c:v>-0.007</c:v>
                </c:pt>
                <c:pt idx="40">
                  <c:v>0.045</c:v>
                </c:pt>
                <c:pt idx="41">
                  <c:v>0.022</c:v>
                </c:pt>
                <c:pt idx="42">
                  <c:v>0.005</c:v>
                </c:pt>
                <c:pt idx="43">
                  <c:v>0.029</c:v>
                </c:pt>
                <c:pt idx="44">
                  <c:v>0.024</c:v>
                </c:pt>
                <c:pt idx="45">
                  <c:v>0.068</c:v>
                </c:pt>
                <c:pt idx="46">
                  <c:v>0.033</c:v>
                </c:pt>
                <c:pt idx="47">
                  <c:v>0.003</c:v>
                </c:pt>
                <c:pt idx="48">
                  <c:v>0.049</c:v>
                </c:pt>
                <c:pt idx="49">
                  <c:v>0.039</c:v>
                </c:pt>
                <c:pt idx="50">
                  <c:v>0.039</c:v>
                </c:pt>
                <c:pt idx="51">
                  <c:v>0.034</c:v>
                </c:pt>
                <c:pt idx="52">
                  <c:v>0.016</c:v>
                </c:pt>
                <c:pt idx="53">
                  <c:v>0.003</c:v>
                </c:pt>
                <c:pt idx="54">
                  <c:v>0.033</c:v>
                </c:pt>
                <c:pt idx="55">
                  <c:v>0.021</c:v>
                </c:pt>
                <c:pt idx="56">
                  <c:v>0.014</c:v>
                </c:pt>
                <c:pt idx="57">
                  <c:v>0.013</c:v>
                </c:pt>
                <c:pt idx="58">
                  <c:v>-0.009</c:v>
                </c:pt>
                <c:pt idx="59">
                  <c:v>-0.002</c:v>
                </c:pt>
                <c:pt idx="60">
                  <c:v>0.001</c:v>
                </c:pt>
                <c:pt idx="61">
                  <c:v>-0.011</c:v>
                </c:pt>
                <c:pt idx="62">
                  <c:v>-0.014</c:v>
                </c:pt>
                <c:pt idx="63">
                  <c:v>0.02</c:v>
                </c:pt>
                <c:pt idx="64">
                  <c:v>-0.015</c:v>
                </c:pt>
                <c:pt idx="65">
                  <c:v>-0.01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BA-488C-AAA3-08820DD28B42}"/>
            </c:ext>
          </c:extLst>
        </c:ser>
        <c:ser>
          <c:idx val="2"/>
          <c:order val="2"/>
          <c:tx>
            <c:strRef>
              <c:f>'1_Actividad_Economica'!$E$23</c:f>
              <c:strCache>
                <c:ptCount val="1"/>
                <c:pt idx="0">
                  <c:v>COLOMBIA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'1_Actividad_Economica'!$B$24:$B$89</c:f>
              <c:numCache>
                <c:formatCode>mmm\-yy</c:formatCode>
                <c:ptCount val="66"/>
                <c:pt idx="0">
                  <c:v>44256.0</c:v>
                </c:pt>
                <c:pt idx="1">
                  <c:v>44287.0</c:v>
                </c:pt>
                <c:pt idx="2">
                  <c:v>44317.0</c:v>
                </c:pt>
                <c:pt idx="3">
                  <c:v>44348.0</c:v>
                </c:pt>
                <c:pt idx="4">
                  <c:v>44378.0</c:v>
                </c:pt>
                <c:pt idx="5">
                  <c:v>44409.0</c:v>
                </c:pt>
                <c:pt idx="6">
                  <c:v>44440.0</c:v>
                </c:pt>
                <c:pt idx="7">
                  <c:v>44470.0</c:v>
                </c:pt>
                <c:pt idx="8">
                  <c:v>44501.0</c:v>
                </c:pt>
                <c:pt idx="9">
                  <c:v>44531.0</c:v>
                </c:pt>
                <c:pt idx="10">
                  <c:v>44562.0</c:v>
                </c:pt>
                <c:pt idx="11">
                  <c:v>44593.0</c:v>
                </c:pt>
                <c:pt idx="12">
                  <c:v>44621.0</c:v>
                </c:pt>
                <c:pt idx="13">
                  <c:v>44652.0</c:v>
                </c:pt>
                <c:pt idx="14">
                  <c:v>44682.0</c:v>
                </c:pt>
                <c:pt idx="15">
                  <c:v>44713.0</c:v>
                </c:pt>
                <c:pt idx="16">
                  <c:v>44743.0</c:v>
                </c:pt>
                <c:pt idx="17">
                  <c:v>44774.0</c:v>
                </c:pt>
                <c:pt idx="18">
                  <c:v>44805.0</c:v>
                </c:pt>
                <c:pt idx="19">
                  <c:v>44835.0</c:v>
                </c:pt>
                <c:pt idx="20">
                  <c:v>44866.0</c:v>
                </c:pt>
                <c:pt idx="21">
                  <c:v>44896.0</c:v>
                </c:pt>
                <c:pt idx="22">
                  <c:v>44927.0</c:v>
                </c:pt>
                <c:pt idx="23">
                  <c:v>44958.0</c:v>
                </c:pt>
                <c:pt idx="24">
                  <c:v>44986.0</c:v>
                </c:pt>
                <c:pt idx="25">
                  <c:v>45017.0</c:v>
                </c:pt>
                <c:pt idx="26">
                  <c:v>45047.0</c:v>
                </c:pt>
                <c:pt idx="27">
                  <c:v>45078.0</c:v>
                </c:pt>
                <c:pt idx="28">
                  <c:v>45108.0</c:v>
                </c:pt>
                <c:pt idx="29">
                  <c:v>45139.0</c:v>
                </c:pt>
                <c:pt idx="30">
                  <c:v>45170.0</c:v>
                </c:pt>
                <c:pt idx="31">
                  <c:v>45200.0</c:v>
                </c:pt>
                <c:pt idx="32">
                  <c:v>45231.0</c:v>
                </c:pt>
                <c:pt idx="33">
                  <c:v>45261.0</c:v>
                </c:pt>
                <c:pt idx="34">
                  <c:v>45292.0</c:v>
                </c:pt>
                <c:pt idx="35">
                  <c:v>45323.0</c:v>
                </c:pt>
                <c:pt idx="36">
                  <c:v>45352.0</c:v>
                </c:pt>
                <c:pt idx="37">
                  <c:v>45383.0</c:v>
                </c:pt>
                <c:pt idx="38">
                  <c:v>45413.0</c:v>
                </c:pt>
                <c:pt idx="39">
                  <c:v>45444.0</c:v>
                </c:pt>
                <c:pt idx="40">
                  <c:v>45474.0</c:v>
                </c:pt>
                <c:pt idx="41">
                  <c:v>45505.0</c:v>
                </c:pt>
                <c:pt idx="42">
                  <c:v>45536.0</c:v>
                </c:pt>
                <c:pt idx="43">
                  <c:v>45566.0</c:v>
                </c:pt>
                <c:pt idx="44">
                  <c:v>45597.0</c:v>
                </c:pt>
                <c:pt idx="45">
                  <c:v>45627.0</c:v>
                </c:pt>
                <c:pt idx="46">
                  <c:v>45658.0</c:v>
                </c:pt>
                <c:pt idx="47">
                  <c:v>45689.0</c:v>
                </c:pt>
                <c:pt idx="48">
                  <c:v>45717.0</c:v>
                </c:pt>
                <c:pt idx="49">
                  <c:v>45748.0</c:v>
                </c:pt>
                <c:pt idx="50">
                  <c:v>45778.0</c:v>
                </c:pt>
                <c:pt idx="51">
                  <c:v>45809.0</c:v>
                </c:pt>
                <c:pt idx="52">
                  <c:v>45839.0</c:v>
                </c:pt>
                <c:pt idx="53">
                  <c:v>45870.0</c:v>
                </c:pt>
                <c:pt idx="54">
                  <c:v>45901.0</c:v>
                </c:pt>
                <c:pt idx="55">
                  <c:v>45931.0</c:v>
                </c:pt>
                <c:pt idx="56">
                  <c:v>45962.0</c:v>
                </c:pt>
                <c:pt idx="57">
                  <c:v>45992.0</c:v>
                </c:pt>
                <c:pt idx="58">
                  <c:v>46023.0</c:v>
                </c:pt>
                <c:pt idx="59">
                  <c:v>46054.0</c:v>
                </c:pt>
                <c:pt idx="60">
                  <c:v>46082.0</c:v>
                </c:pt>
                <c:pt idx="61">
                  <c:v>46113.0</c:v>
                </c:pt>
                <c:pt idx="62">
                  <c:v>46143.0</c:v>
                </c:pt>
                <c:pt idx="63">
                  <c:v>46174.0</c:v>
                </c:pt>
                <c:pt idx="64">
                  <c:v>46204.0</c:v>
                </c:pt>
                <c:pt idx="65">
                  <c:v>46235.0</c:v>
                </c:pt>
              </c:numCache>
            </c:numRef>
          </c:cat>
          <c:val>
            <c:numRef>
              <c:f>'1_Actividad_Economica'!$E$24:$E$89</c:f>
              <c:numCache>
                <c:formatCode>0.00%;[Red]\(0.00%\);\-</c:formatCode>
                <c:ptCount val="66"/>
                <c:pt idx="0">
                  <c:v>0.11199939198803861</c:v>
                </c:pt>
                <c:pt idx="1">
                  <c:v>0.2544645614077939</c:v>
                </c:pt>
                <c:pt idx="2">
                  <c:v>0.13277725305715876</c:v>
                </c:pt>
                <c:pt idx="3">
                  <c:v>0.15401411254992922</c:v>
                </c:pt>
                <c:pt idx="4">
                  <c:v>0.1318748562780867</c:v>
                </c:pt>
                <c:pt idx="5">
                  <c:v>0.11690880947414527</c:v>
                </c:pt>
                <c:pt idx="6">
                  <c:v>0.13450793558858806</c:v>
                </c:pt>
                <c:pt idx="7">
                  <c:v>0.10179929150495752</c:v>
                </c:pt>
                <c:pt idx="8">
                  <c:v>0.10541242379524447</c:v>
                </c:pt>
                <c:pt idx="9">
                  <c:v>0.10306803304172817</c:v>
                </c:pt>
                <c:pt idx="10">
                  <c:v>0.07997283451947794</c:v>
                </c:pt>
                <c:pt idx="11">
                  <c:v>0.06704108050115182</c:v>
                </c:pt>
                <c:pt idx="12">
                  <c:v>0.07004344196517537</c:v>
                </c:pt>
                <c:pt idx="13">
                  <c:v>0.10430781703451558</c:v>
                </c:pt>
                <c:pt idx="14">
                  <c:v>0.16759463755863466</c:v>
                </c:pt>
                <c:pt idx="15">
                  <c:v>0.07769837042526874</c:v>
                </c:pt>
                <c:pt idx="16">
                  <c:v>0.0600383006838166</c:v>
                </c:pt>
                <c:pt idx="17">
                  <c:v>0.08692678249077473</c:v>
                </c:pt>
                <c:pt idx="18">
                  <c:v>0.04225121595119603</c:v>
                </c:pt>
                <c:pt idx="19">
                  <c:v>0.040724729562040804</c:v>
                </c:pt>
                <c:pt idx="20">
                  <c:v>0.0008041936948511363</c:v>
                </c:pt>
                <c:pt idx="21">
                  <c:v>0.005240977088560044</c:v>
                </c:pt>
                <c:pt idx="22">
                  <c:v>0.04305896138968919</c:v>
                </c:pt>
                <c:pt idx="23">
                  <c:v>0.024634885254249072</c:v>
                </c:pt>
                <c:pt idx="24">
                  <c:v>0.014181155528732604</c:v>
                </c:pt>
                <c:pt idx="25">
                  <c:v>-0.007597410163161129</c:v>
                </c:pt>
                <c:pt idx="26">
                  <c:v>0.0026545886701711654</c:v>
                </c:pt>
                <c:pt idx="27">
                  <c:v>0.024934003156569275</c:v>
                </c:pt>
                <c:pt idx="28">
                  <c:v>0.00603558071841519</c:v>
                </c:pt>
                <c:pt idx="29">
                  <c:v>0.006414358573582319</c:v>
                </c:pt>
                <c:pt idx="30">
                  <c:v>-0.00491815057079819</c:v>
                </c:pt>
                <c:pt idx="31">
                  <c:v>-0.006663004540744453</c:v>
                </c:pt>
                <c:pt idx="32">
                  <c:v>0.03767213197079244</c:v>
                </c:pt>
                <c:pt idx="33">
                  <c:v>0.009314488345856091</c:v>
                </c:pt>
                <c:pt idx="34">
                  <c:v>0.016492731682158562</c:v>
                </c:pt>
                <c:pt idx="35">
                  <c:v>0.023808944404296994</c:v>
                </c:pt>
                <c:pt idx="36">
                  <c:v>-0.020798051911159375</c:v>
                </c:pt>
                <c:pt idx="37">
                  <c:v>0.05548305480548137</c:v>
                </c:pt>
                <c:pt idx="38">
                  <c:v>0.021493165339182097</c:v>
                </c:pt>
                <c:pt idx="39">
                  <c:v>-0.01978461372376984</c:v>
                </c:pt>
                <c:pt idx="40">
                  <c:v>0.03034717732261811</c:v>
                </c:pt>
                <c:pt idx="41">
                  <c:v>0.01312024579259827</c:v>
                </c:pt>
                <c:pt idx="42">
                  <c:v>0.005261270920834988</c:v>
                </c:pt>
                <c:pt idx="43">
                  <c:v>0.03283168746529341</c:v>
                </c:pt>
                <c:pt idx="44">
                  <c:v>0.0017250363920398115</c:v>
                </c:pt>
                <c:pt idx="45">
                  <c:v>0.034047774266954746</c:v>
                </c:pt>
                <c:pt idx="46">
                  <c:v>0.019453393243888256</c:v>
                </c:pt>
                <c:pt idx="47">
                  <c:v>0.012728179491353585</c:v>
                </c:pt>
                <c:pt idx="48">
                  <c:v>0.04626675403787203</c:v>
                </c:pt>
                <c:pt idx="49">
                  <c:v>0.0017477031830249246</c:v>
                </c:pt>
                <c:pt idx="50">
                  <c:v>0.024331562417676054</c:v>
                </c:pt>
                <c:pt idx="51">
                  <c:v>0.03632191213994318</c:v>
                </c:pt>
                <c:pt idx="52">
                  <c:v>0.04750617697389785</c:v>
                </c:pt>
                <c:pt idx="53">
                  <c:v>0.02492609228802948</c:v>
                </c:pt>
                <c:pt idx="54">
                  <c:v>0.038205433016777306</c:v>
                </c:pt>
                <c:pt idx="55">
                  <c:v>0.026694490401073807</c:v>
                </c:pt>
                <c:pt idx="56">
                  <c:v>0.02382806212325761</c:v>
                </c:pt>
                <c:pt idx="57">
                  <c:v>0.017672683978170626</c:v>
                </c:pt>
                <c:pt idx="58">
                  <c:v>0.0092</c:v>
                </c:pt>
                <c:pt idx="59">
                  <c:v>0.013</c:v>
                </c:pt>
                <c:pt idx="60">
                  <c:v>0.0398</c:v>
                </c:pt>
                <c:pt idx="61">
                  <c:v>0.0323</c:v>
                </c:pt>
                <c:pt idx="62">
                  <c:v>0.0429</c:v>
                </c:pt>
                <c:pt idx="63">
                  <c:v>0.0341</c:v>
                </c:pt>
                <c:pt idx="64">
                  <c:v>0.0111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8BA-488C-AAA3-08820DD28B42}"/>
            </c:ext>
          </c:extLst>
        </c:ser>
        <c:ser>
          <c:idx val="3"/>
          <c:order val="3"/>
          <c:tx>
            <c:strRef>
              <c:f>'1_Actividad_Economica'!$F$23</c:f>
              <c:strCache>
                <c:ptCount val="1"/>
                <c:pt idx="0">
                  <c:v>MEXICO</c:v>
                </c:pt>
              </c:strCache>
            </c:strRef>
          </c:tx>
          <c:spPr>
            <a:ln w="28440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'1_Actividad_Economica'!$B$24:$B$89</c:f>
              <c:numCache>
                <c:formatCode>mmm\-yy</c:formatCode>
                <c:ptCount val="66"/>
                <c:pt idx="0">
                  <c:v>44256.0</c:v>
                </c:pt>
                <c:pt idx="1">
                  <c:v>44287.0</c:v>
                </c:pt>
                <c:pt idx="2">
                  <c:v>44317.0</c:v>
                </c:pt>
                <c:pt idx="3">
                  <c:v>44348.0</c:v>
                </c:pt>
                <c:pt idx="4">
                  <c:v>44378.0</c:v>
                </c:pt>
                <c:pt idx="5">
                  <c:v>44409.0</c:v>
                </c:pt>
                <c:pt idx="6">
                  <c:v>44440.0</c:v>
                </c:pt>
                <c:pt idx="7">
                  <c:v>44470.0</c:v>
                </c:pt>
                <c:pt idx="8">
                  <c:v>44501.0</c:v>
                </c:pt>
                <c:pt idx="9">
                  <c:v>44531.0</c:v>
                </c:pt>
                <c:pt idx="10">
                  <c:v>44562.0</c:v>
                </c:pt>
                <c:pt idx="11">
                  <c:v>44593.0</c:v>
                </c:pt>
                <c:pt idx="12">
                  <c:v>44621.0</c:v>
                </c:pt>
                <c:pt idx="13">
                  <c:v>44652.0</c:v>
                </c:pt>
                <c:pt idx="14">
                  <c:v>44682.0</c:v>
                </c:pt>
                <c:pt idx="15">
                  <c:v>44713.0</c:v>
                </c:pt>
                <c:pt idx="16">
                  <c:v>44743.0</c:v>
                </c:pt>
                <c:pt idx="17">
                  <c:v>44774.0</c:v>
                </c:pt>
                <c:pt idx="18">
                  <c:v>44805.0</c:v>
                </c:pt>
                <c:pt idx="19">
                  <c:v>44835.0</c:v>
                </c:pt>
                <c:pt idx="20">
                  <c:v>44866.0</c:v>
                </c:pt>
                <c:pt idx="21">
                  <c:v>44896.0</c:v>
                </c:pt>
                <c:pt idx="22">
                  <c:v>44927.0</c:v>
                </c:pt>
                <c:pt idx="23">
                  <c:v>44958.0</c:v>
                </c:pt>
                <c:pt idx="24">
                  <c:v>44986.0</c:v>
                </c:pt>
                <c:pt idx="25">
                  <c:v>45017.0</c:v>
                </c:pt>
                <c:pt idx="26">
                  <c:v>45047.0</c:v>
                </c:pt>
                <c:pt idx="27">
                  <c:v>45078.0</c:v>
                </c:pt>
                <c:pt idx="28">
                  <c:v>45108.0</c:v>
                </c:pt>
                <c:pt idx="29">
                  <c:v>45139.0</c:v>
                </c:pt>
                <c:pt idx="30">
                  <c:v>45170.0</c:v>
                </c:pt>
                <c:pt idx="31">
                  <c:v>45200.0</c:v>
                </c:pt>
                <c:pt idx="32">
                  <c:v>45231.0</c:v>
                </c:pt>
                <c:pt idx="33">
                  <c:v>45261.0</c:v>
                </c:pt>
                <c:pt idx="34">
                  <c:v>45292.0</c:v>
                </c:pt>
                <c:pt idx="35">
                  <c:v>45323.0</c:v>
                </c:pt>
                <c:pt idx="36">
                  <c:v>45352.0</c:v>
                </c:pt>
                <c:pt idx="37">
                  <c:v>45383.0</c:v>
                </c:pt>
                <c:pt idx="38">
                  <c:v>45413.0</c:v>
                </c:pt>
                <c:pt idx="39">
                  <c:v>45444.0</c:v>
                </c:pt>
                <c:pt idx="40">
                  <c:v>45474.0</c:v>
                </c:pt>
                <c:pt idx="41">
                  <c:v>45505.0</c:v>
                </c:pt>
                <c:pt idx="42">
                  <c:v>45536.0</c:v>
                </c:pt>
                <c:pt idx="43">
                  <c:v>45566.0</c:v>
                </c:pt>
                <c:pt idx="44">
                  <c:v>45597.0</c:v>
                </c:pt>
                <c:pt idx="45">
                  <c:v>45627.0</c:v>
                </c:pt>
                <c:pt idx="46">
                  <c:v>45658.0</c:v>
                </c:pt>
                <c:pt idx="47">
                  <c:v>45689.0</c:v>
                </c:pt>
                <c:pt idx="48">
                  <c:v>45717.0</c:v>
                </c:pt>
                <c:pt idx="49">
                  <c:v>45748.0</c:v>
                </c:pt>
                <c:pt idx="50">
                  <c:v>45778.0</c:v>
                </c:pt>
                <c:pt idx="51">
                  <c:v>45809.0</c:v>
                </c:pt>
                <c:pt idx="52">
                  <c:v>45839.0</c:v>
                </c:pt>
                <c:pt idx="53">
                  <c:v>45870.0</c:v>
                </c:pt>
                <c:pt idx="54">
                  <c:v>45901.0</c:v>
                </c:pt>
                <c:pt idx="55">
                  <c:v>45931.0</c:v>
                </c:pt>
                <c:pt idx="56">
                  <c:v>45962.0</c:v>
                </c:pt>
                <c:pt idx="57">
                  <c:v>45992.0</c:v>
                </c:pt>
                <c:pt idx="58">
                  <c:v>46023.0</c:v>
                </c:pt>
                <c:pt idx="59">
                  <c:v>46054.0</c:v>
                </c:pt>
                <c:pt idx="60">
                  <c:v>46082.0</c:v>
                </c:pt>
                <c:pt idx="61">
                  <c:v>46113.0</c:v>
                </c:pt>
                <c:pt idx="62">
                  <c:v>46143.0</c:v>
                </c:pt>
                <c:pt idx="63">
                  <c:v>46174.0</c:v>
                </c:pt>
                <c:pt idx="64">
                  <c:v>46204.0</c:v>
                </c:pt>
                <c:pt idx="65">
                  <c:v>46235.0</c:v>
                </c:pt>
              </c:numCache>
            </c:numRef>
          </c:cat>
          <c:val>
            <c:numRef>
              <c:f>'1_Actividad_Economica'!$F$24:$F$89</c:f>
              <c:numCache>
                <c:formatCode>0.00%;[Red]\(0.00%\);\-</c:formatCode>
                <c:ptCount val="66"/>
                <c:pt idx="0">
                  <c:v>0.0297257911296025</c:v>
                </c:pt>
                <c:pt idx="1">
                  <c:v>0.26018854938061603</c:v>
                </c:pt>
                <c:pt idx="2">
                  <c:v>0.277081131855713</c:v>
                </c:pt>
                <c:pt idx="3">
                  <c:v>0.138115556454622</c:v>
                </c:pt>
                <c:pt idx="4">
                  <c:v>0.0757206928134391</c:v>
                </c:pt>
                <c:pt idx="5">
                  <c:v>0.0495038715152936</c:v>
                </c:pt>
                <c:pt idx="6">
                  <c:v>0.00816823105247707</c:v>
                </c:pt>
                <c:pt idx="7">
                  <c:v>-0.0008932064231564139</c:v>
                </c:pt>
                <c:pt idx="8">
                  <c:v>0.0180473227120255</c:v>
                </c:pt>
                <c:pt idx="9">
                  <c:v>0.017107927013753098</c:v>
                </c:pt>
                <c:pt idx="10">
                  <c:v>0.0178433941808784</c:v>
                </c:pt>
                <c:pt idx="11">
                  <c:v>0.0300916907646955</c:v>
                </c:pt>
                <c:pt idx="12">
                  <c:v>0.0179734432670526</c:v>
                </c:pt>
                <c:pt idx="13">
                  <c:v>0.0238452290434536</c:v>
                </c:pt>
                <c:pt idx="14">
                  <c:v>0.0347578446864725</c:v>
                </c:pt>
                <c:pt idx="15">
                  <c:v>0.0185190957941779</c:v>
                </c:pt>
                <c:pt idx="16">
                  <c:v>0.0246667604063626</c:v>
                </c:pt>
                <c:pt idx="17">
                  <c:v>0.05861864026833621</c:v>
                </c:pt>
                <c:pt idx="18">
                  <c:v>0.0546706824140873</c:v>
                </c:pt>
                <c:pt idx="19">
                  <c:v>0.0469145127929953</c:v>
                </c:pt>
                <c:pt idx="20">
                  <c:v>0.0468695645000619</c:v>
                </c:pt>
                <c:pt idx="21">
                  <c:v>0.043347329639315105</c:v>
                </c:pt>
                <c:pt idx="22">
                  <c:v>0.047861325286248</c:v>
                </c:pt>
                <c:pt idx="23">
                  <c:v>0.0369859732073414</c:v>
                </c:pt>
                <c:pt idx="24">
                  <c:v>0.0245108382107621</c:v>
                </c:pt>
                <c:pt idx="25">
                  <c:v>0.0176804071076918</c:v>
                </c:pt>
                <c:pt idx="26">
                  <c:v>0.0414399351722336</c:v>
                </c:pt>
                <c:pt idx="27">
                  <c:v>0.0379458689651422</c:v>
                </c:pt>
                <c:pt idx="28">
                  <c:v>0.030478224697433397</c:v>
                </c:pt>
                <c:pt idx="29">
                  <c:v>0.0327128487304398</c:v>
                </c:pt>
                <c:pt idx="30">
                  <c:v>0.037658872297136596</c:v>
                </c:pt>
                <c:pt idx="31">
                  <c:v>0.044585339224235694</c:v>
                </c:pt>
                <c:pt idx="32">
                  <c:v>0.0172660123676994</c:v>
                </c:pt>
                <c:pt idx="33">
                  <c:v>0.00472224938179849</c:v>
                </c:pt>
                <c:pt idx="34">
                  <c:v>0.023404511433369902</c:v>
                </c:pt>
                <c:pt idx="35">
                  <c:v>0.043466327086152896</c:v>
                </c:pt>
                <c:pt idx="36">
                  <c:v>-0.0137658281537369</c:v>
                </c:pt>
                <c:pt idx="37">
                  <c:v>0.053812154367878</c:v>
                </c:pt>
                <c:pt idx="38">
                  <c:v>0.0145118850724282</c:v>
                </c:pt>
                <c:pt idx="39">
                  <c:v>-0.005840954436414591</c:v>
                </c:pt>
                <c:pt idx="40">
                  <c:v>0.0387659026881624</c:v>
                </c:pt>
                <c:pt idx="41">
                  <c:v>0.00399418341464468</c:v>
                </c:pt>
                <c:pt idx="42">
                  <c:v>-0.0013975328701897598</c:v>
                </c:pt>
                <c:pt idx="43">
                  <c:v>0.00675065205228037</c:v>
                </c:pt>
                <c:pt idx="44">
                  <c:v>0.00235465867345823</c:v>
                </c:pt>
                <c:pt idx="45">
                  <c:v>-0.006488801257981441</c:v>
                </c:pt>
                <c:pt idx="46">
                  <c:v>-0.00400695461686368</c:v>
                </c:pt>
                <c:pt idx="47">
                  <c:v>-0.00919021146320091</c:v>
                </c:pt>
                <c:pt idx="48">
                  <c:v>0.026294869719699</c:v>
                </c:pt>
                <c:pt idx="49">
                  <c:v>-0.0157047954534339</c:v>
                </c:pt>
                <c:pt idx="50">
                  <c:v>0.00043864260811489003</c:v>
                </c:pt>
                <c:pt idx="51">
                  <c:v>0.010671387368810901</c:v>
                </c:pt>
                <c:pt idx="52">
                  <c:v>-0.0093503260798056</c:v>
                </c:pt>
                <c:pt idx="53">
                  <c:v>-0.0049035539125986795</c:v>
                </c:pt>
                <c:pt idx="54">
                  <c:v>0.00819597451214918</c:v>
                </c:pt>
                <c:pt idx="55">
                  <c:v>0.0180248562671326</c:v>
                </c:pt>
                <c:pt idx="56">
                  <c:v>-0.0010726832284510101</c:v>
                </c:pt>
                <c:pt idx="57">
                  <c:v>0.0326079508191566</c:v>
                </c:pt>
                <c:pt idx="58">
                  <c:v>-0.00296808367985065</c:v>
                </c:pt>
                <c:pt idx="59">
                  <c:v>-0.0026110932801167103</c:v>
                </c:pt>
                <c:pt idx="60">
                  <c:v>0.014</c:v>
                </c:pt>
                <c:pt idx="61">
                  <c:v>0.023</c:v>
                </c:pt>
                <c:pt idx="62">
                  <c:v>0.011</c:v>
                </c:pt>
                <c:pt idx="63">
                  <c:v>0.028</c:v>
                </c:pt>
                <c:pt idx="64">
                  <c:v>0.034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8BA-488C-AAA3-08820DD28B42}"/>
            </c:ext>
          </c:extLst>
        </c:ser>
        <c:ser>
          <c:idx val="4"/>
          <c:order val="4"/>
          <c:tx>
            <c:strRef>
              <c:f>'1_Actividad_Economica'!$G$23</c:f>
              <c:strCache>
                <c:ptCount val="1"/>
                <c:pt idx="0">
                  <c:v>PERU</c:v>
                </c:pt>
              </c:strCache>
            </c:strRef>
          </c:tx>
          <c:spPr>
            <a:ln w="28440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'1_Actividad_Economica'!$B$24:$B$89</c:f>
              <c:numCache>
                <c:formatCode>mmm\-yy</c:formatCode>
                <c:ptCount val="66"/>
                <c:pt idx="0">
                  <c:v>44256.0</c:v>
                </c:pt>
                <c:pt idx="1">
                  <c:v>44287.0</c:v>
                </c:pt>
                <c:pt idx="2">
                  <c:v>44317.0</c:v>
                </c:pt>
                <c:pt idx="3">
                  <c:v>44348.0</c:v>
                </c:pt>
                <c:pt idx="4">
                  <c:v>44378.0</c:v>
                </c:pt>
                <c:pt idx="5">
                  <c:v>44409.0</c:v>
                </c:pt>
                <c:pt idx="6">
                  <c:v>44440.0</c:v>
                </c:pt>
                <c:pt idx="7">
                  <c:v>44470.0</c:v>
                </c:pt>
                <c:pt idx="8">
                  <c:v>44501.0</c:v>
                </c:pt>
                <c:pt idx="9">
                  <c:v>44531.0</c:v>
                </c:pt>
                <c:pt idx="10">
                  <c:v>44562.0</c:v>
                </c:pt>
                <c:pt idx="11">
                  <c:v>44593.0</c:v>
                </c:pt>
                <c:pt idx="12">
                  <c:v>44621.0</c:v>
                </c:pt>
                <c:pt idx="13">
                  <c:v>44652.0</c:v>
                </c:pt>
                <c:pt idx="14">
                  <c:v>44682.0</c:v>
                </c:pt>
                <c:pt idx="15">
                  <c:v>44713.0</c:v>
                </c:pt>
                <c:pt idx="16">
                  <c:v>44743.0</c:v>
                </c:pt>
                <c:pt idx="17">
                  <c:v>44774.0</c:v>
                </c:pt>
                <c:pt idx="18">
                  <c:v>44805.0</c:v>
                </c:pt>
                <c:pt idx="19">
                  <c:v>44835.0</c:v>
                </c:pt>
                <c:pt idx="20">
                  <c:v>44866.0</c:v>
                </c:pt>
                <c:pt idx="21">
                  <c:v>44896.0</c:v>
                </c:pt>
                <c:pt idx="22">
                  <c:v>44927.0</c:v>
                </c:pt>
                <c:pt idx="23">
                  <c:v>44958.0</c:v>
                </c:pt>
                <c:pt idx="24">
                  <c:v>44986.0</c:v>
                </c:pt>
                <c:pt idx="25">
                  <c:v>45017.0</c:v>
                </c:pt>
                <c:pt idx="26">
                  <c:v>45047.0</c:v>
                </c:pt>
                <c:pt idx="27">
                  <c:v>45078.0</c:v>
                </c:pt>
                <c:pt idx="28">
                  <c:v>45108.0</c:v>
                </c:pt>
                <c:pt idx="29">
                  <c:v>45139.0</c:v>
                </c:pt>
                <c:pt idx="30">
                  <c:v>45170.0</c:v>
                </c:pt>
                <c:pt idx="31">
                  <c:v>45200.0</c:v>
                </c:pt>
                <c:pt idx="32">
                  <c:v>45231.0</c:v>
                </c:pt>
                <c:pt idx="33">
                  <c:v>45261.0</c:v>
                </c:pt>
                <c:pt idx="34">
                  <c:v>45292.0</c:v>
                </c:pt>
                <c:pt idx="35">
                  <c:v>45323.0</c:v>
                </c:pt>
                <c:pt idx="36">
                  <c:v>45352.0</c:v>
                </c:pt>
                <c:pt idx="37">
                  <c:v>45383.0</c:v>
                </c:pt>
                <c:pt idx="38">
                  <c:v>45413.0</c:v>
                </c:pt>
                <c:pt idx="39">
                  <c:v>45444.0</c:v>
                </c:pt>
                <c:pt idx="40">
                  <c:v>45474.0</c:v>
                </c:pt>
                <c:pt idx="41">
                  <c:v>45505.0</c:v>
                </c:pt>
                <c:pt idx="42">
                  <c:v>45536.0</c:v>
                </c:pt>
                <c:pt idx="43">
                  <c:v>45566.0</c:v>
                </c:pt>
                <c:pt idx="44">
                  <c:v>45597.0</c:v>
                </c:pt>
                <c:pt idx="45">
                  <c:v>45627.0</c:v>
                </c:pt>
                <c:pt idx="46">
                  <c:v>45658.0</c:v>
                </c:pt>
                <c:pt idx="47">
                  <c:v>45689.0</c:v>
                </c:pt>
                <c:pt idx="48">
                  <c:v>45717.0</c:v>
                </c:pt>
                <c:pt idx="49">
                  <c:v>45748.0</c:v>
                </c:pt>
                <c:pt idx="50">
                  <c:v>45778.0</c:v>
                </c:pt>
                <c:pt idx="51">
                  <c:v>45809.0</c:v>
                </c:pt>
                <c:pt idx="52">
                  <c:v>45839.0</c:v>
                </c:pt>
                <c:pt idx="53">
                  <c:v>45870.0</c:v>
                </c:pt>
                <c:pt idx="54">
                  <c:v>45901.0</c:v>
                </c:pt>
                <c:pt idx="55">
                  <c:v>45931.0</c:v>
                </c:pt>
                <c:pt idx="56">
                  <c:v>45962.0</c:v>
                </c:pt>
                <c:pt idx="57">
                  <c:v>45992.0</c:v>
                </c:pt>
                <c:pt idx="58">
                  <c:v>46023.0</c:v>
                </c:pt>
                <c:pt idx="59">
                  <c:v>46054.0</c:v>
                </c:pt>
                <c:pt idx="60">
                  <c:v>46082.0</c:v>
                </c:pt>
                <c:pt idx="61">
                  <c:v>46113.0</c:v>
                </c:pt>
                <c:pt idx="62">
                  <c:v>46143.0</c:v>
                </c:pt>
                <c:pt idx="63">
                  <c:v>46174.0</c:v>
                </c:pt>
                <c:pt idx="64">
                  <c:v>46204.0</c:v>
                </c:pt>
                <c:pt idx="65">
                  <c:v>46235.0</c:v>
                </c:pt>
              </c:numCache>
            </c:numRef>
          </c:cat>
          <c:val>
            <c:numRef>
              <c:f>'1_Actividad_Economica'!$G$24:$G$89</c:f>
              <c:numCache>
                <c:formatCode>0.00%;[Red]\(0.00%\);\-</c:formatCode>
                <c:ptCount val="66"/>
                <c:pt idx="0">
                  <c:v>0.199</c:v>
                </c:pt>
                <c:pt idx="1">
                  <c:v>0.599</c:v>
                </c:pt>
                <c:pt idx="2">
                  <c:v>0.486</c:v>
                </c:pt>
                <c:pt idx="3">
                  <c:v>0.234</c:v>
                </c:pt>
                <c:pt idx="4">
                  <c:v>0.133</c:v>
                </c:pt>
                <c:pt idx="5">
                  <c:v>0.12</c:v>
                </c:pt>
                <c:pt idx="6">
                  <c:v>0.1</c:v>
                </c:pt>
                <c:pt idx="7">
                  <c:v>0.048</c:v>
                </c:pt>
                <c:pt idx="8">
                  <c:v>0.038</c:v>
                </c:pt>
                <c:pt idx="9">
                  <c:v>0.02</c:v>
                </c:pt>
                <c:pt idx="10">
                  <c:v>0.031</c:v>
                </c:pt>
                <c:pt idx="11">
                  <c:v>0.048</c:v>
                </c:pt>
                <c:pt idx="12">
                  <c:v>0.039</c:v>
                </c:pt>
                <c:pt idx="13">
                  <c:v>0.04</c:v>
                </c:pt>
                <c:pt idx="14">
                  <c:v>0.025</c:v>
                </c:pt>
                <c:pt idx="15">
                  <c:v>0.037</c:v>
                </c:pt>
                <c:pt idx="16">
                  <c:v>0.02</c:v>
                </c:pt>
                <c:pt idx="17">
                  <c:v>0.02</c:v>
                </c:pt>
                <c:pt idx="18">
                  <c:v>0.022</c:v>
                </c:pt>
                <c:pt idx="19">
                  <c:v>0.026</c:v>
                </c:pt>
                <c:pt idx="20">
                  <c:v>0.022</c:v>
                </c:pt>
                <c:pt idx="21">
                  <c:v>0.013</c:v>
                </c:pt>
                <c:pt idx="22">
                  <c:v>-0.005</c:v>
                </c:pt>
                <c:pt idx="23">
                  <c:v>-0.003</c:v>
                </c:pt>
                <c:pt idx="24">
                  <c:v>0.009</c:v>
                </c:pt>
                <c:pt idx="25">
                  <c:v>0.008</c:v>
                </c:pt>
                <c:pt idx="26">
                  <c:v>-0.011</c:v>
                </c:pt>
                <c:pt idx="27">
                  <c:v>-0.007</c:v>
                </c:pt>
                <c:pt idx="28">
                  <c:v>-0.01</c:v>
                </c:pt>
                <c:pt idx="29">
                  <c:v>0.001</c:v>
                </c:pt>
                <c:pt idx="30">
                  <c:v>-0.009</c:v>
                </c:pt>
                <c:pt idx="31">
                  <c:v>-0.007</c:v>
                </c:pt>
                <c:pt idx="32">
                  <c:v>0.006</c:v>
                </c:pt>
                <c:pt idx="33">
                  <c:v>-0.011</c:v>
                </c:pt>
                <c:pt idx="34">
                  <c:v>0.018</c:v>
                </c:pt>
                <c:pt idx="35">
                  <c:v>0.032</c:v>
                </c:pt>
                <c:pt idx="36">
                  <c:v>-0.004</c:v>
                </c:pt>
                <c:pt idx="37">
                  <c:v>0.055</c:v>
                </c:pt>
                <c:pt idx="38">
                  <c:v>0.057</c:v>
                </c:pt>
                <c:pt idx="39">
                  <c:v>0.004</c:v>
                </c:pt>
                <c:pt idx="40">
                  <c:v>0.049</c:v>
                </c:pt>
                <c:pt idx="41">
                  <c:v>0.04</c:v>
                </c:pt>
                <c:pt idx="42">
                  <c:v>0.035</c:v>
                </c:pt>
                <c:pt idx="43">
                  <c:v>0.038</c:v>
                </c:pt>
                <c:pt idx="44">
                  <c:v>0.044</c:v>
                </c:pt>
                <c:pt idx="45">
                  <c:v>0.051</c:v>
                </c:pt>
                <c:pt idx="46">
                  <c:v>0.043</c:v>
                </c:pt>
                <c:pt idx="47">
                  <c:v>0.029</c:v>
                </c:pt>
                <c:pt idx="48">
                  <c:v>0.048</c:v>
                </c:pt>
                <c:pt idx="49">
                  <c:v>0.014</c:v>
                </c:pt>
                <c:pt idx="50">
                  <c:v>0.023</c:v>
                </c:pt>
                <c:pt idx="51">
                  <c:v>0.0494005156</c:v>
                </c:pt>
                <c:pt idx="52">
                  <c:v>0.035506417542</c:v>
                </c:pt>
                <c:pt idx="53">
                  <c:v>0.031649960095</c:v>
                </c:pt>
                <c:pt idx="54">
                  <c:v>0.043926004901</c:v>
                </c:pt>
                <c:pt idx="55">
                  <c:v>0.041763215364</c:v>
                </c:pt>
                <c:pt idx="56">
                  <c:v>0.015892023661</c:v>
                </c:pt>
                <c:pt idx="57">
                  <c:v>0.0414063348</c:v>
                </c:pt>
                <c:pt idx="58">
                  <c:v>0.037556344138</c:v>
                </c:pt>
                <c:pt idx="59">
                  <c:v>0.036803776465</c:v>
                </c:pt>
                <c:pt idx="60">
                  <c:v>0.032679298123</c:v>
                </c:pt>
                <c:pt idx="61">
                  <c:v>0.03807912794</c:v>
                </c:pt>
                <c:pt idx="62">
                  <c:v>0.021754127286</c:v>
                </c:pt>
                <c:pt idx="63">
                  <c:v>0.017513508585</c:v>
                </c:pt>
                <c:pt idx="64">
                  <c:v>0.035592604174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8BA-488C-AAA3-08820DD28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92040"/>
        <c:axId val="7665787"/>
      </c:lineChart>
      <c:dateAx>
        <c:axId val="679204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7665787"/>
        <c:crosses val="autoZero"/>
        <c:auto val="1"/>
        <c:lblOffset val="100"/>
        <c:baseTimeUnit val="months"/>
      </c:dateAx>
      <c:valAx>
        <c:axId val="766578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CO"/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67920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4"/>
      </a:solidFill>
      <a:round/>
    </a:ln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/>
            </a:pPr>
            <a:r>
              <a:rPr lang="es-CO" sz="1800"/>
              <a:t>Ventas Retail - Var YoY 12M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'2_Ventas_Retail'!$C$23</c:f>
              <c:strCache>
                <c:ptCount val="1"/>
                <c:pt idx="0">
                  <c:v>BRASIL</c:v>
                </c:pt>
              </c:strCache>
            </c:strRef>
          </c:tx>
          <c:spPr>
            <a:ln w="28440">
              <a:solidFill>
                <a:srgbClr val="51C5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'2_Ventas_Retail'!$B$24:$B$87</c:f>
              <c:numCache>
                <c:formatCode>mmm\-yy</c:formatCode>
                <c:ptCount val="64"/>
                <c:pt idx="0">
                  <c:v>44317.0</c:v>
                </c:pt>
                <c:pt idx="1">
                  <c:v>44348.0</c:v>
                </c:pt>
                <c:pt idx="2">
                  <c:v>44378.0</c:v>
                </c:pt>
                <c:pt idx="3">
                  <c:v>44409.0</c:v>
                </c:pt>
                <c:pt idx="4">
                  <c:v>44440.0</c:v>
                </c:pt>
                <c:pt idx="5">
                  <c:v>44470.0</c:v>
                </c:pt>
                <c:pt idx="6">
                  <c:v>44501.0</c:v>
                </c:pt>
                <c:pt idx="7">
                  <c:v>44531.0</c:v>
                </c:pt>
                <c:pt idx="8">
                  <c:v>44562.0</c:v>
                </c:pt>
                <c:pt idx="9">
                  <c:v>44593.0</c:v>
                </c:pt>
                <c:pt idx="10">
                  <c:v>44621.0</c:v>
                </c:pt>
                <c:pt idx="11">
                  <c:v>44652.0</c:v>
                </c:pt>
                <c:pt idx="12">
                  <c:v>44682.0</c:v>
                </c:pt>
                <c:pt idx="13">
                  <c:v>44713.0</c:v>
                </c:pt>
                <c:pt idx="14">
                  <c:v>44743.0</c:v>
                </c:pt>
                <c:pt idx="15">
                  <c:v>44774.0</c:v>
                </c:pt>
                <c:pt idx="16">
                  <c:v>44805.0</c:v>
                </c:pt>
                <c:pt idx="17">
                  <c:v>44835.0</c:v>
                </c:pt>
                <c:pt idx="18">
                  <c:v>44866.0</c:v>
                </c:pt>
                <c:pt idx="19">
                  <c:v>44896.0</c:v>
                </c:pt>
                <c:pt idx="20">
                  <c:v>44927.0</c:v>
                </c:pt>
                <c:pt idx="21">
                  <c:v>44958.0</c:v>
                </c:pt>
                <c:pt idx="22">
                  <c:v>44986.0</c:v>
                </c:pt>
                <c:pt idx="23">
                  <c:v>45017.0</c:v>
                </c:pt>
                <c:pt idx="24">
                  <c:v>45047.0</c:v>
                </c:pt>
                <c:pt idx="25">
                  <c:v>45078.0</c:v>
                </c:pt>
                <c:pt idx="26">
                  <c:v>45108.0</c:v>
                </c:pt>
                <c:pt idx="27">
                  <c:v>45139.0</c:v>
                </c:pt>
                <c:pt idx="28">
                  <c:v>45170.0</c:v>
                </c:pt>
                <c:pt idx="29">
                  <c:v>45200.0</c:v>
                </c:pt>
                <c:pt idx="30">
                  <c:v>45231.0</c:v>
                </c:pt>
                <c:pt idx="31">
                  <c:v>45261.0</c:v>
                </c:pt>
                <c:pt idx="32">
                  <c:v>45292.0</c:v>
                </c:pt>
                <c:pt idx="33">
                  <c:v>45323.0</c:v>
                </c:pt>
                <c:pt idx="34">
                  <c:v>45352.0</c:v>
                </c:pt>
                <c:pt idx="35">
                  <c:v>45383.0</c:v>
                </c:pt>
                <c:pt idx="36">
                  <c:v>45413.0</c:v>
                </c:pt>
                <c:pt idx="37">
                  <c:v>45444.0</c:v>
                </c:pt>
                <c:pt idx="38">
                  <c:v>45474.0</c:v>
                </c:pt>
                <c:pt idx="39">
                  <c:v>45505.0</c:v>
                </c:pt>
                <c:pt idx="40">
                  <c:v>45536.0</c:v>
                </c:pt>
                <c:pt idx="41">
                  <c:v>45566.0</c:v>
                </c:pt>
                <c:pt idx="42">
                  <c:v>45597.0</c:v>
                </c:pt>
                <c:pt idx="43">
                  <c:v>45627.0</c:v>
                </c:pt>
                <c:pt idx="44">
                  <c:v>45658.0</c:v>
                </c:pt>
                <c:pt idx="45">
                  <c:v>45689.0</c:v>
                </c:pt>
                <c:pt idx="46">
                  <c:v>45717.0</c:v>
                </c:pt>
                <c:pt idx="47">
                  <c:v>45748.0</c:v>
                </c:pt>
                <c:pt idx="48">
                  <c:v>45778.0</c:v>
                </c:pt>
                <c:pt idx="49">
                  <c:v>45809.0</c:v>
                </c:pt>
                <c:pt idx="50">
                  <c:v>45839.0</c:v>
                </c:pt>
                <c:pt idx="51">
                  <c:v>45870.0</c:v>
                </c:pt>
                <c:pt idx="52">
                  <c:v>45901.0</c:v>
                </c:pt>
                <c:pt idx="53">
                  <c:v>45931.0</c:v>
                </c:pt>
                <c:pt idx="54">
                  <c:v>45962.0</c:v>
                </c:pt>
                <c:pt idx="55">
                  <c:v>45992.0</c:v>
                </c:pt>
                <c:pt idx="56">
                  <c:v>46023.0</c:v>
                </c:pt>
                <c:pt idx="57">
                  <c:v>46054.0</c:v>
                </c:pt>
                <c:pt idx="58">
                  <c:v>46082.0</c:v>
                </c:pt>
                <c:pt idx="59">
                  <c:v>46113.0</c:v>
                </c:pt>
                <c:pt idx="60">
                  <c:v>46143.0</c:v>
                </c:pt>
                <c:pt idx="61">
                  <c:v>46174.0</c:v>
                </c:pt>
                <c:pt idx="62">
                  <c:v>46204.0</c:v>
                </c:pt>
                <c:pt idx="63">
                  <c:v>46235.0</c:v>
                </c:pt>
              </c:numCache>
            </c:numRef>
          </c:cat>
          <c:val>
            <c:numRef>
              <c:f>'2_Ventas_Retail'!$C$24:$C$87</c:f>
              <c:numCache>
                <c:formatCode>0.00%;[Red]\(0.00%\);\-</c:formatCode>
                <c:ptCount val="64"/>
                <c:pt idx="0">
                  <c:v>0.24</c:v>
                </c:pt>
                <c:pt idx="1">
                  <c:v>0.16</c:v>
                </c:pt>
                <c:pt idx="2">
                  <c:v>0.06</c:v>
                </c:pt>
                <c:pt idx="3">
                  <c:v>-0.03</c:v>
                </c:pt>
                <c:pt idx="4">
                  <c:v>-0.05</c:v>
                </c:pt>
                <c:pt idx="5">
                  <c:v>-0.07</c:v>
                </c:pt>
                <c:pt idx="6">
                  <c:v>-0.07</c:v>
                </c:pt>
                <c:pt idx="7">
                  <c:v>-0.03</c:v>
                </c:pt>
                <c:pt idx="8">
                  <c:v>-0.01</c:v>
                </c:pt>
                <c:pt idx="9">
                  <c:v>-0.01</c:v>
                </c:pt>
                <c:pt idx="10">
                  <c:v>0.0</c:v>
                </c:pt>
                <c:pt idx="11">
                  <c:v>0.05</c:v>
                </c:pt>
                <c:pt idx="12">
                  <c:v>0.04</c:v>
                </c:pt>
                <c:pt idx="13">
                  <c:v>0.0</c:v>
                </c:pt>
                <c:pt idx="14">
                  <c:v>0.01</c:v>
                </c:pt>
                <c:pt idx="15">
                  <c:v>0.02</c:v>
                </c:pt>
                <c:pt idx="16">
                  <c:v>0.03</c:v>
                </c:pt>
                <c:pt idx="17">
                  <c:v>0.03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</c:v>
                </c:pt>
                <c:pt idx="22">
                  <c:v>0.0</c:v>
                </c:pt>
                <c:pt idx="23">
                  <c:v>-0.01</c:v>
                </c:pt>
                <c:pt idx="24">
                  <c:v>0.0</c:v>
                </c:pt>
                <c:pt idx="25">
                  <c:v>0.0</c:v>
                </c:pt>
                <c:pt idx="26">
                  <c:v>0.01</c:v>
                </c:pt>
                <c:pt idx="27">
                  <c:v>0.01</c:v>
                </c:pt>
                <c:pt idx="28">
                  <c:v>0.02</c:v>
                </c:pt>
                <c:pt idx="29">
                  <c:v>0.02</c:v>
                </c:pt>
                <c:pt idx="30">
                  <c:v>0.01</c:v>
                </c:pt>
                <c:pt idx="31">
                  <c:v>0.02</c:v>
                </c:pt>
                <c:pt idx="32">
                  <c:v>0.03</c:v>
                </c:pt>
                <c:pt idx="33">
                  <c:v>0.04</c:v>
                </c:pt>
                <c:pt idx="34">
                  <c:v>0.02</c:v>
                </c:pt>
                <c:pt idx="35">
                  <c:v>0.02</c:v>
                </c:pt>
                <c:pt idx="36">
                  <c:v>0.01</c:v>
                </c:pt>
                <c:pt idx="37">
                  <c:v>0.02</c:v>
                </c:pt>
                <c:pt idx="38">
                  <c:v>0.03</c:v>
                </c:pt>
                <c:pt idx="39">
                  <c:v>0.02</c:v>
                </c:pt>
                <c:pt idx="40">
                  <c:v>0.04</c:v>
                </c:pt>
                <c:pt idx="41">
                  <c:v>0.01</c:v>
                </c:pt>
                <c:pt idx="42">
                  <c:v>-0.01</c:v>
                </c:pt>
                <c:pt idx="43">
                  <c:v>0.0</c:v>
                </c:pt>
                <c:pt idx="44">
                  <c:v>0.032</c:v>
                </c:pt>
                <c:pt idx="45">
                  <c:v>0.016</c:v>
                </c:pt>
                <c:pt idx="46">
                  <c:v>-0.007</c:v>
                </c:pt>
                <c:pt idx="47">
                  <c:v>0.054</c:v>
                </c:pt>
                <c:pt idx="48">
                  <c:v>0.018</c:v>
                </c:pt>
                <c:pt idx="49">
                  <c:v>0.005</c:v>
                </c:pt>
                <c:pt idx="50">
                  <c:v>0.013</c:v>
                </c:pt>
                <c:pt idx="51">
                  <c:v>0.003</c:v>
                </c:pt>
                <c:pt idx="52">
                  <c:v>0.009</c:v>
                </c:pt>
                <c:pt idx="53">
                  <c:v>0.01</c:v>
                </c:pt>
                <c:pt idx="54">
                  <c:v>0.015</c:v>
                </c:pt>
                <c:pt idx="55">
                  <c:v>0.024</c:v>
                </c:pt>
                <c:pt idx="56">
                  <c:v>0.027</c:v>
                </c:pt>
                <c:pt idx="57">
                  <c:v>0.003</c:v>
                </c:pt>
                <c:pt idx="58">
                  <c:v>0.039</c:v>
                </c:pt>
                <c:pt idx="59">
                  <c:v>0.012</c:v>
                </c:pt>
                <c:pt idx="60">
                  <c:v>0.007</c:v>
                </c:pt>
                <c:pt idx="61">
                  <c:v>0.028</c:v>
                </c:pt>
                <c:pt idx="62">
                  <c:v>0.013</c:v>
                </c:pt>
                <c:pt idx="63">
                  <c:v>0.004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F7-4714-B938-6B310A89EE8C}"/>
            </c:ext>
          </c:extLst>
        </c:ser>
        <c:ser>
          <c:idx val="1"/>
          <c:order val="1"/>
          <c:tx>
            <c:strRef>
              <c:f>'2_Ventas_Retail'!$D$23</c:f>
              <c:strCache>
                <c:ptCount val="1"/>
                <c:pt idx="0">
                  <c:v>CHILE</c:v>
                </c:pt>
              </c:strCache>
            </c:strRef>
          </c:tx>
          <c:spPr>
            <a:ln w="28440">
              <a:solidFill>
                <a:schemeClr val="accent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'2_Ventas_Retail'!$B$24:$B$87</c:f>
              <c:numCache>
                <c:formatCode>mmm\-yy</c:formatCode>
                <c:ptCount val="64"/>
                <c:pt idx="0">
                  <c:v>44317.0</c:v>
                </c:pt>
                <c:pt idx="1">
                  <c:v>44348.0</c:v>
                </c:pt>
                <c:pt idx="2">
                  <c:v>44378.0</c:v>
                </c:pt>
                <c:pt idx="3">
                  <c:v>44409.0</c:v>
                </c:pt>
                <c:pt idx="4">
                  <c:v>44440.0</c:v>
                </c:pt>
                <c:pt idx="5">
                  <c:v>44470.0</c:v>
                </c:pt>
                <c:pt idx="6">
                  <c:v>44501.0</c:v>
                </c:pt>
                <c:pt idx="7">
                  <c:v>44531.0</c:v>
                </c:pt>
                <c:pt idx="8">
                  <c:v>44562.0</c:v>
                </c:pt>
                <c:pt idx="9">
                  <c:v>44593.0</c:v>
                </c:pt>
                <c:pt idx="10">
                  <c:v>44621.0</c:v>
                </c:pt>
                <c:pt idx="11">
                  <c:v>44652.0</c:v>
                </c:pt>
                <c:pt idx="12">
                  <c:v>44682.0</c:v>
                </c:pt>
                <c:pt idx="13">
                  <c:v>44713.0</c:v>
                </c:pt>
                <c:pt idx="14">
                  <c:v>44743.0</c:v>
                </c:pt>
                <c:pt idx="15">
                  <c:v>44774.0</c:v>
                </c:pt>
                <c:pt idx="16">
                  <c:v>44805.0</c:v>
                </c:pt>
                <c:pt idx="17">
                  <c:v>44835.0</c:v>
                </c:pt>
                <c:pt idx="18">
                  <c:v>44866.0</c:v>
                </c:pt>
                <c:pt idx="19">
                  <c:v>44896.0</c:v>
                </c:pt>
                <c:pt idx="20">
                  <c:v>44927.0</c:v>
                </c:pt>
                <c:pt idx="21">
                  <c:v>44958.0</c:v>
                </c:pt>
                <c:pt idx="22">
                  <c:v>44986.0</c:v>
                </c:pt>
                <c:pt idx="23">
                  <c:v>45017.0</c:v>
                </c:pt>
                <c:pt idx="24">
                  <c:v>45047.0</c:v>
                </c:pt>
                <c:pt idx="25">
                  <c:v>45078.0</c:v>
                </c:pt>
                <c:pt idx="26">
                  <c:v>45108.0</c:v>
                </c:pt>
                <c:pt idx="27">
                  <c:v>45139.0</c:v>
                </c:pt>
                <c:pt idx="28">
                  <c:v>45170.0</c:v>
                </c:pt>
                <c:pt idx="29">
                  <c:v>45200.0</c:v>
                </c:pt>
                <c:pt idx="30">
                  <c:v>45231.0</c:v>
                </c:pt>
                <c:pt idx="31">
                  <c:v>45261.0</c:v>
                </c:pt>
                <c:pt idx="32">
                  <c:v>45292.0</c:v>
                </c:pt>
                <c:pt idx="33">
                  <c:v>45323.0</c:v>
                </c:pt>
                <c:pt idx="34">
                  <c:v>45352.0</c:v>
                </c:pt>
                <c:pt idx="35">
                  <c:v>45383.0</c:v>
                </c:pt>
                <c:pt idx="36">
                  <c:v>45413.0</c:v>
                </c:pt>
                <c:pt idx="37">
                  <c:v>45444.0</c:v>
                </c:pt>
                <c:pt idx="38">
                  <c:v>45474.0</c:v>
                </c:pt>
                <c:pt idx="39">
                  <c:v>45505.0</c:v>
                </c:pt>
                <c:pt idx="40">
                  <c:v>45536.0</c:v>
                </c:pt>
                <c:pt idx="41">
                  <c:v>45566.0</c:v>
                </c:pt>
                <c:pt idx="42">
                  <c:v>45597.0</c:v>
                </c:pt>
                <c:pt idx="43">
                  <c:v>45627.0</c:v>
                </c:pt>
                <c:pt idx="44">
                  <c:v>45658.0</c:v>
                </c:pt>
                <c:pt idx="45">
                  <c:v>45689.0</c:v>
                </c:pt>
                <c:pt idx="46">
                  <c:v>45717.0</c:v>
                </c:pt>
                <c:pt idx="47">
                  <c:v>45748.0</c:v>
                </c:pt>
                <c:pt idx="48">
                  <c:v>45778.0</c:v>
                </c:pt>
                <c:pt idx="49">
                  <c:v>45809.0</c:v>
                </c:pt>
                <c:pt idx="50">
                  <c:v>45839.0</c:v>
                </c:pt>
                <c:pt idx="51">
                  <c:v>45870.0</c:v>
                </c:pt>
                <c:pt idx="52">
                  <c:v>45901.0</c:v>
                </c:pt>
                <c:pt idx="53">
                  <c:v>45931.0</c:v>
                </c:pt>
                <c:pt idx="54">
                  <c:v>45962.0</c:v>
                </c:pt>
                <c:pt idx="55">
                  <c:v>45992.0</c:v>
                </c:pt>
                <c:pt idx="56">
                  <c:v>46023.0</c:v>
                </c:pt>
                <c:pt idx="57">
                  <c:v>46054.0</c:v>
                </c:pt>
                <c:pt idx="58">
                  <c:v>46082.0</c:v>
                </c:pt>
                <c:pt idx="59">
                  <c:v>46113.0</c:v>
                </c:pt>
                <c:pt idx="60">
                  <c:v>46143.0</c:v>
                </c:pt>
                <c:pt idx="61">
                  <c:v>46174.0</c:v>
                </c:pt>
                <c:pt idx="62">
                  <c:v>46204.0</c:v>
                </c:pt>
                <c:pt idx="63">
                  <c:v>46235.0</c:v>
                </c:pt>
              </c:numCache>
            </c:numRef>
          </c:cat>
          <c:val>
            <c:numRef>
              <c:f>'2_Ventas_Retail'!$D$24:$D$87</c:f>
              <c:numCache>
                <c:formatCode>0.00%;[Red]\(0.00%\);\-</c:formatCode>
                <c:ptCount val="64"/>
                <c:pt idx="0">
                  <c:v>0.38</c:v>
                </c:pt>
                <c:pt idx="1">
                  <c:v>0.6</c:v>
                </c:pt>
                <c:pt idx="2">
                  <c:v>0.58</c:v>
                </c:pt>
                <c:pt idx="3">
                  <c:v>0.6</c:v>
                </c:pt>
                <c:pt idx="4">
                  <c:v>0.6</c:v>
                </c:pt>
                <c:pt idx="5">
                  <c:v>0.4</c:v>
                </c:pt>
                <c:pt idx="6">
                  <c:v>0.25</c:v>
                </c:pt>
                <c:pt idx="7">
                  <c:v>0.23</c:v>
                </c:pt>
                <c:pt idx="8">
                  <c:v>0.18</c:v>
                </c:pt>
                <c:pt idx="9">
                  <c:v>0.12</c:v>
                </c:pt>
                <c:pt idx="10">
                  <c:v>0.13</c:v>
                </c:pt>
                <c:pt idx="11">
                  <c:v>0.14</c:v>
                </c:pt>
                <c:pt idx="12">
                  <c:v>0.21</c:v>
                </c:pt>
                <c:pt idx="13">
                  <c:v>-0.03</c:v>
                </c:pt>
                <c:pt idx="14">
                  <c:v>-0.08</c:v>
                </c:pt>
                <c:pt idx="15">
                  <c:v>-0.1</c:v>
                </c:pt>
                <c:pt idx="16">
                  <c:v>-0.13</c:v>
                </c:pt>
                <c:pt idx="17">
                  <c:v>-0.15</c:v>
                </c:pt>
                <c:pt idx="18">
                  <c:v>-0.1</c:v>
                </c:pt>
                <c:pt idx="19">
                  <c:v>-0.08</c:v>
                </c:pt>
                <c:pt idx="20">
                  <c:v>-0.07</c:v>
                </c:pt>
                <c:pt idx="21">
                  <c:v>-0.07</c:v>
                </c:pt>
                <c:pt idx="22">
                  <c:v>-0.08</c:v>
                </c:pt>
                <c:pt idx="23">
                  <c:v>-0.07</c:v>
                </c:pt>
                <c:pt idx="24">
                  <c:v>-0.05</c:v>
                </c:pt>
                <c:pt idx="25">
                  <c:v>-0.03</c:v>
                </c:pt>
                <c:pt idx="26">
                  <c:v>-0.01</c:v>
                </c:pt>
                <c:pt idx="27">
                  <c:v>0.01</c:v>
                </c:pt>
                <c:pt idx="28">
                  <c:v>0.0</c:v>
                </c:pt>
                <c:pt idx="29">
                  <c:v>0.0</c:v>
                </c:pt>
                <c:pt idx="30">
                  <c:v>0.01</c:v>
                </c:pt>
                <c:pt idx="31">
                  <c:v>0.02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0.06</c:v>
                </c:pt>
                <c:pt idx="36">
                  <c:v>0.04</c:v>
                </c:pt>
                <c:pt idx="37">
                  <c:v>0.03</c:v>
                </c:pt>
                <c:pt idx="38">
                  <c:v>0.04</c:v>
                </c:pt>
                <c:pt idx="39">
                  <c:v>0.05</c:v>
                </c:pt>
                <c:pt idx="40">
                  <c:v>0.04</c:v>
                </c:pt>
                <c:pt idx="41">
                  <c:v>0.03</c:v>
                </c:pt>
                <c:pt idx="42">
                  <c:v>0.04</c:v>
                </c:pt>
                <c:pt idx="43">
                  <c:v>0.05</c:v>
                </c:pt>
                <c:pt idx="44">
                  <c:v>0.06</c:v>
                </c:pt>
                <c:pt idx="45">
                  <c:v>0.05</c:v>
                </c:pt>
                <c:pt idx="46">
                  <c:v>0.04</c:v>
                </c:pt>
                <c:pt idx="47">
                  <c:v>0.031</c:v>
                </c:pt>
                <c:pt idx="48">
                  <c:v>0.052</c:v>
                </c:pt>
                <c:pt idx="49">
                  <c:v>0.06</c:v>
                </c:pt>
                <c:pt idx="50">
                  <c:v>0.057</c:v>
                </c:pt>
                <c:pt idx="51">
                  <c:v>0.052</c:v>
                </c:pt>
                <c:pt idx="52">
                  <c:v>0.065</c:v>
                </c:pt>
                <c:pt idx="53">
                  <c:v>0.083</c:v>
                </c:pt>
                <c:pt idx="54">
                  <c:v>0.058</c:v>
                </c:pt>
                <c:pt idx="55">
                  <c:v>0.044</c:v>
                </c:pt>
                <c:pt idx="56">
                  <c:v>0.036</c:v>
                </c:pt>
                <c:pt idx="57">
                  <c:v>0.056</c:v>
                </c:pt>
                <c:pt idx="58">
                  <c:v>0.046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DF7-4714-B938-6B310A89EE8C}"/>
            </c:ext>
          </c:extLst>
        </c:ser>
        <c:ser>
          <c:idx val="2"/>
          <c:order val="2"/>
          <c:tx>
            <c:strRef>
              <c:f>'2_Ventas_Retail'!$E$23</c:f>
              <c:strCache>
                <c:ptCount val="1"/>
                <c:pt idx="0">
                  <c:v>COLOMBIA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'2_Ventas_Retail'!$B$24:$B$87</c:f>
              <c:numCache>
                <c:formatCode>mmm\-yy</c:formatCode>
                <c:ptCount val="64"/>
                <c:pt idx="0">
                  <c:v>44317.0</c:v>
                </c:pt>
                <c:pt idx="1">
                  <c:v>44348.0</c:v>
                </c:pt>
                <c:pt idx="2">
                  <c:v>44378.0</c:v>
                </c:pt>
                <c:pt idx="3">
                  <c:v>44409.0</c:v>
                </c:pt>
                <c:pt idx="4">
                  <c:v>44440.0</c:v>
                </c:pt>
                <c:pt idx="5">
                  <c:v>44470.0</c:v>
                </c:pt>
                <c:pt idx="6">
                  <c:v>44501.0</c:v>
                </c:pt>
                <c:pt idx="7">
                  <c:v>44531.0</c:v>
                </c:pt>
                <c:pt idx="8">
                  <c:v>44562.0</c:v>
                </c:pt>
                <c:pt idx="9">
                  <c:v>44593.0</c:v>
                </c:pt>
                <c:pt idx="10">
                  <c:v>44621.0</c:v>
                </c:pt>
                <c:pt idx="11">
                  <c:v>44652.0</c:v>
                </c:pt>
                <c:pt idx="12">
                  <c:v>44682.0</c:v>
                </c:pt>
                <c:pt idx="13">
                  <c:v>44713.0</c:v>
                </c:pt>
                <c:pt idx="14">
                  <c:v>44743.0</c:v>
                </c:pt>
                <c:pt idx="15">
                  <c:v>44774.0</c:v>
                </c:pt>
                <c:pt idx="16">
                  <c:v>44805.0</c:v>
                </c:pt>
                <c:pt idx="17">
                  <c:v>44835.0</c:v>
                </c:pt>
                <c:pt idx="18">
                  <c:v>44866.0</c:v>
                </c:pt>
                <c:pt idx="19">
                  <c:v>44896.0</c:v>
                </c:pt>
                <c:pt idx="20">
                  <c:v>44927.0</c:v>
                </c:pt>
                <c:pt idx="21">
                  <c:v>44958.0</c:v>
                </c:pt>
                <c:pt idx="22">
                  <c:v>44986.0</c:v>
                </c:pt>
                <c:pt idx="23">
                  <c:v>45017.0</c:v>
                </c:pt>
                <c:pt idx="24">
                  <c:v>45047.0</c:v>
                </c:pt>
                <c:pt idx="25">
                  <c:v>45078.0</c:v>
                </c:pt>
                <c:pt idx="26">
                  <c:v>45108.0</c:v>
                </c:pt>
                <c:pt idx="27">
                  <c:v>45139.0</c:v>
                </c:pt>
                <c:pt idx="28">
                  <c:v>45170.0</c:v>
                </c:pt>
                <c:pt idx="29">
                  <c:v>45200.0</c:v>
                </c:pt>
                <c:pt idx="30">
                  <c:v>45231.0</c:v>
                </c:pt>
                <c:pt idx="31">
                  <c:v>45261.0</c:v>
                </c:pt>
                <c:pt idx="32">
                  <c:v>45292.0</c:v>
                </c:pt>
                <c:pt idx="33">
                  <c:v>45323.0</c:v>
                </c:pt>
                <c:pt idx="34">
                  <c:v>45352.0</c:v>
                </c:pt>
                <c:pt idx="35">
                  <c:v>45383.0</c:v>
                </c:pt>
                <c:pt idx="36">
                  <c:v>45413.0</c:v>
                </c:pt>
                <c:pt idx="37">
                  <c:v>45444.0</c:v>
                </c:pt>
                <c:pt idx="38">
                  <c:v>45474.0</c:v>
                </c:pt>
                <c:pt idx="39">
                  <c:v>45505.0</c:v>
                </c:pt>
                <c:pt idx="40">
                  <c:v>45536.0</c:v>
                </c:pt>
                <c:pt idx="41">
                  <c:v>45566.0</c:v>
                </c:pt>
                <c:pt idx="42">
                  <c:v>45597.0</c:v>
                </c:pt>
                <c:pt idx="43">
                  <c:v>45627.0</c:v>
                </c:pt>
                <c:pt idx="44">
                  <c:v>45658.0</c:v>
                </c:pt>
                <c:pt idx="45">
                  <c:v>45689.0</c:v>
                </c:pt>
                <c:pt idx="46">
                  <c:v>45717.0</c:v>
                </c:pt>
                <c:pt idx="47">
                  <c:v>45748.0</c:v>
                </c:pt>
                <c:pt idx="48">
                  <c:v>45778.0</c:v>
                </c:pt>
                <c:pt idx="49">
                  <c:v>45809.0</c:v>
                </c:pt>
                <c:pt idx="50">
                  <c:v>45839.0</c:v>
                </c:pt>
                <c:pt idx="51">
                  <c:v>45870.0</c:v>
                </c:pt>
                <c:pt idx="52">
                  <c:v>45901.0</c:v>
                </c:pt>
                <c:pt idx="53">
                  <c:v>45931.0</c:v>
                </c:pt>
                <c:pt idx="54">
                  <c:v>45962.0</c:v>
                </c:pt>
                <c:pt idx="55">
                  <c:v>45992.0</c:v>
                </c:pt>
                <c:pt idx="56">
                  <c:v>46023.0</c:v>
                </c:pt>
                <c:pt idx="57">
                  <c:v>46054.0</c:v>
                </c:pt>
                <c:pt idx="58">
                  <c:v>46082.0</c:v>
                </c:pt>
                <c:pt idx="59">
                  <c:v>46113.0</c:v>
                </c:pt>
                <c:pt idx="60">
                  <c:v>46143.0</c:v>
                </c:pt>
                <c:pt idx="61">
                  <c:v>46174.0</c:v>
                </c:pt>
                <c:pt idx="62">
                  <c:v>46204.0</c:v>
                </c:pt>
                <c:pt idx="63">
                  <c:v>46235.0</c:v>
                </c:pt>
              </c:numCache>
            </c:numRef>
          </c:cat>
          <c:val>
            <c:numRef>
              <c:f>'2_Ventas_Retail'!$E$24:$E$87</c:f>
              <c:numCache>
                <c:formatCode>0.00%;[Red]\(0.00%\);\-</c:formatCode>
                <c:ptCount val="64"/>
                <c:pt idx="0">
                  <c:v>0.75</c:v>
                </c:pt>
                <c:pt idx="1">
                  <c:v>0.3</c:v>
                </c:pt>
                <c:pt idx="2">
                  <c:v>0.3</c:v>
                </c:pt>
                <c:pt idx="3">
                  <c:v>0.31</c:v>
                </c:pt>
                <c:pt idx="4">
                  <c:v>0.22</c:v>
                </c:pt>
                <c:pt idx="5">
                  <c:v>0.19</c:v>
                </c:pt>
                <c:pt idx="6">
                  <c:v>0.07</c:v>
                </c:pt>
                <c:pt idx="7">
                  <c:v>0.14</c:v>
                </c:pt>
                <c:pt idx="8">
                  <c:v>0.21</c:v>
                </c:pt>
                <c:pt idx="9">
                  <c:v>0.14</c:v>
                </c:pt>
                <c:pt idx="10">
                  <c:v>0.13</c:v>
                </c:pt>
                <c:pt idx="11">
                  <c:v>0.13</c:v>
                </c:pt>
                <c:pt idx="12">
                  <c:v>0.35</c:v>
                </c:pt>
                <c:pt idx="13">
                  <c:v>0.12</c:v>
                </c:pt>
                <c:pt idx="14">
                  <c:v>0.09</c:v>
                </c:pt>
                <c:pt idx="15">
                  <c:v>0.08</c:v>
                </c:pt>
                <c:pt idx="16">
                  <c:v>0.06</c:v>
                </c:pt>
                <c:pt idx="17">
                  <c:v>0.07</c:v>
                </c:pt>
                <c:pt idx="18">
                  <c:v>0.0</c:v>
                </c:pt>
                <c:pt idx="19">
                  <c:v>-0.01</c:v>
                </c:pt>
                <c:pt idx="20">
                  <c:v>-0.03</c:v>
                </c:pt>
                <c:pt idx="21">
                  <c:v>-0.05</c:v>
                </c:pt>
                <c:pt idx="22">
                  <c:v>-0.05</c:v>
                </c:pt>
                <c:pt idx="23">
                  <c:v>-0.03</c:v>
                </c:pt>
                <c:pt idx="24">
                  <c:v>-0.02</c:v>
                </c:pt>
                <c:pt idx="25">
                  <c:v>-0.02</c:v>
                </c:pt>
                <c:pt idx="26">
                  <c:v>-0.01</c:v>
                </c:pt>
                <c:pt idx="27">
                  <c:v>0.01</c:v>
                </c:pt>
                <c:pt idx="28">
                  <c:v>0.0</c:v>
                </c:pt>
                <c:pt idx="29">
                  <c:v>0.01</c:v>
                </c:pt>
                <c:pt idx="30">
                  <c:v>0.02</c:v>
                </c:pt>
                <c:pt idx="31">
                  <c:v>0.02</c:v>
                </c:pt>
                <c:pt idx="32">
                  <c:v>0.01</c:v>
                </c:pt>
                <c:pt idx="33">
                  <c:v>0.0</c:v>
                </c:pt>
                <c:pt idx="34">
                  <c:v>0.01</c:v>
                </c:pt>
                <c:pt idx="35">
                  <c:v>0.04</c:v>
                </c:pt>
                <c:pt idx="36">
                  <c:v>0.01</c:v>
                </c:pt>
                <c:pt idx="37">
                  <c:v>0.05</c:v>
                </c:pt>
                <c:pt idx="38">
                  <c:v>0.03</c:v>
                </c:pt>
                <c:pt idx="39">
                  <c:v>0.04</c:v>
                </c:pt>
                <c:pt idx="40">
                  <c:v>0.06</c:v>
                </c:pt>
                <c:pt idx="41">
                  <c:v>0.06</c:v>
                </c:pt>
                <c:pt idx="42">
                  <c:v>0.08</c:v>
                </c:pt>
                <c:pt idx="43">
                  <c:v>0.07</c:v>
                </c:pt>
                <c:pt idx="44">
                  <c:v>0.08</c:v>
                </c:pt>
                <c:pt idx="45">
                  <c:v>0.09</c:v>
                </c:pt>
                <c:pt idx="46">
                  <c:v>0.11</c:v>
                </c:pt>
                <c:pt idx="47">
                  <c:v>0.117</c:v>
                </c:pt>
                <c:pt idx="48">
                  <c:v>0.135</c:v>
                </c:pt>
                <c:pt idx="49">
                  <c:v>0.103</c:v>
                </c:pt>
                <c:pt idx="50">
                  <c:v>0.182</c:v>
                </c:pt>
                <c:pt idx="51">
                  <c:v>0.125</c:v>
                </c:pt>
                <c:pt idx="52">
                  <c:v>0.143</c:v>
                </c:pt>
                <c:pt idx="53">
                  <c:v>0.098</c:v>
                </c:pt>
                <c:pt idx="54">
                  <c:v>0.074</c:v>
                </c:pt>
                <c:pt idx="55">
                  <c:v>0.111</c:v>
                </c:pt>
                <c:pt idx="56">
                  <c:v>0.079</c:v>
                </c:pt>
                <c:pt idx="57">
                  <c:v>0.109</c:v>
                </c:pt>
                <c:pt idx="58">
                  <c:v>0.134</c:v>
                </c:pt>
                <c:pt idx="59">
                  <c:v>0.149</c:v>
                </c:pt>
                <c:pt idx="60">
                  <c:v>0.117</c:v>
                </c:pt>
                <c:pt idx="61">
                  <c:v>0.147</c:v>
                </c:pt>
                <c:pt idx="62">
                  <c:v>0.053</c:v>
                </c:pt>
                <c:pt idx="63">
                  <c:v>0.073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DF7-4714-B938-6B310A89EE8C}"/>
            </c:ext>
          </c:extLst>
        </c:ser>
        <c:ser>
          <c:idx val="3"/>
          <c:order val="3"/>
          <c:tx>
            <c:strRef>
              <c:f>'2_Ventas_Retail'!$F$23</c:f>
              <c:strCache>
                <c:ptCount val="1"/>
                <c:pt idx="0">
                  <c:v>MEXICO</c:v>
                </c:pt>
              </c:strCache>
            </c:strRef>
          </c:tx>
          <c:spPr>
            <a:ln w="28440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'2_Ventas_Retail'!$B$24:$B$87</c:f>
              <c:numCache>
                <c:formatCode>mmm\-yy</c:formatCode>
                <c:ptCount val="64"/>
                <c:pt idx="0">
                  <c:v>44317.0</c:v>
                </c:pt>
                <c:pt idx="1">
                  <c:v>44348.0</c:v>
                </c:pt>
                <c:pt idx="2">
                  <c:v>44378.0</c:v>
                </c:pt>
                <c:pt idx="3">
                  <c:v>44409.0</c:v>
                </c:pt>
                <c:pt idx="4">
                  <c:v>44440.0</c:v>
                </c:pt>
                <c:pt idx="5">
                  <c:v>44470.0</c:v>
                </c:pt>
                <c:pt idx="6">
                  <c:v>44501.0</c:v>
                </c:pt>
                <c:pt idx="7">
                  <c:v>44531.0</c:v>
                </c:pt>
                <c:pt idx="8">
                  <c:v>44562.0</c:v>
                </c:pt>
                <c:pt idx="9">
                  <c:v>44593.0</c:v>
                </c:pt>
                <c:pt idx="10">
                  <c:v>44621.0</c:v>
                </c:pt>
                <c:pt idx="11">
                  <c:v>44652.0</c:v>
                </c:pt>
                <c:pt idx="12">
                  <c:v>44682.0</c:v>
                </c:pt>
                <c:pt idx="13">
                  <c:v>44713.0</c:v>
                </c:pt>
                <c:pt idx="14">
                  <c:v>44743.0</c:v>
                </c:pt>
                <c:pt idx="15">
                  <c:v>44774.0</c:v>
                </c:pt>
                <c:pt idx="16">
                  <c:v>44805.0</c:v>
                </c:pt>
                <c:pt idx="17">
                  <c:v>44835.0</c:v>
                </c:pt>
                <c:pt idx="18">
                  <c:v>44866.0</c:v>
                </c:pt>
                <c:pt idx="19">
                  <c:v>44896.0</c:v>
                </c:pt>
                <c:pt idx="20">
                  <c:v>44927.0</c:v>
                </c:pt>
                <c:pt idx="21">
                  <c:v>44958.0</c:v>
                </c:pt>
                <c:pt idx="22">
                  <c:v>44986.0</c:v>
                </c:pt>
                <c:pt idx="23">
                  <c:v>45017.0</c:v>
                </c:pt>
                <c:pt idx="24">
                  <c:v>45047.0</c:v>
                </c:pt>
                <c:pt idx="25">
                  <c:v>45078.0</c:v>
                </c:pt>
                <c:pt idx="26">
                  <c:v>45108.0</c:v>
                </c:pt>
                <c:pt idx="27">
                  <c:v>45139.0</c:v>
                </c:pt>
                <c:pt idx="28">
                  <c:v>45170.0</c:v>
                </c:pt>
                <c:pt idx="29">
                  <c:v>45200.0</c:v>
                </c:pt>
                <c:pt idx="30">
                  <c:v>45231.0</c:v>
                </c:pt>
                <c:pt idx="31">
                  <c:v>45261.0</c:v>
                </c:pt>
                <c:pt idx="32">
                  <c:v>45292.0</c:v>
                </c:pt>
                <c:pt idx="33">
                  <c:v>45323.0</c:v>
                </c:pt>
                <c:pt idx="34">
                  <c:v>45352.0</c:v>
                </c:pt>
                <c:pt idx="35">
                  <c:v>45383.0</c:v>
                </c:pt>
                <c:pt idx="36">
                  <c:v>45413.0</c:v>
                </c:pt>
                <c:pt idx="37">
                  <c:v>45444.0</c:v>
                </c:pt>
                <c:pt idx="38">
                  <c:v>45474.0</c:v>
                </c:pt>
                <c:pt idx="39">
                  <c:v>45505.0</c:v>
                </c:pt>
                <c:pt idx="40">
                  <c:v>45536.0</c:v>
                </c:pt>
                <c:pt idx="41">
                  <c:v>45566.0</c:v>
                </c:pt>
                <c:pt idx="42">
                  <c:v>45597.0</c:v>
                </c:pt>
                <c:pt idx="43">
                  <c:v>45627.0</c:v>
                </c:pt>
                <c:pt idx="44">
                  <c:v>45658.0</c:v>
                </c:pt>
                <c:pt idx="45">
                  <c:v>45689.0</c:v>
                </c:pt>
                <c:pt idx="46">
                  <c:v>45717.0</c:v>
                </c:pt>
                <c:pt idx="47">
                  <c:v>45748.0</c:v>
                </c:pt>
                <c:pt idx="48">
                  <c:v>45778.0</c:v>
                </c:pt>
                <c:pt idx="49">
                  <c:v>45809.0</c:v>
                </c:pt>
                <c:pt idx="50">
                  <c:v>45839.0</c:v>
                </c:pt>
                <c:pt idx="51">
                  <c:v>45870.0</c:v>
                </c:pt>
                <c:pt idx="52">
                  <c:v>45901.0</c:v>
                </c:pt>
                <c:pt idx="53">
                  <c:v>45931.0</c:v>
                </c:pt>
                <c:pt idx="54">
                  <c:v>45962.0</c:v>
                </c:pt>
                <c:pt idx="55">
                  <c:v>45992.0</c:v>
                </c:pt>
                <c:pt idx="56">
                  <c:v>46023.0</c:v>
                </c:pt>
                <c:pt idx="57">
                  <c:v>46054.0</c:v>
                </c:pt>
                <c:pt idx="58">
                  <c:v>46082.0</c:v>
                </c:pt>
                <c:pt idx="59">
                  <c:v>46113.0</c:v>
                </c:pt>
                <c:pt idx="60">
                  <c:v>46143.0</c:v>
                </c:pt>
                <c:pt idx="61">
                  <c:v>46174.0</c:v>
                </c:pt>
                <c:pt idx="62">
                  <c:v>46204.0</c:v>
                </c:pt>
                <c:pt idx="63">
                  <c:v>46235.0</c:v>
                </c:pt>
              </c:numCache>
            </c:numRef>
          </c:cat>
          <c:val>
            <c:numRef>
              <c:f>'2_Ventas_Retail'!$F$24:$F$87</c:f>
              <c:numCache>
                <c:formatCode>0.00%;[Red]\(0.00%\);\-</c:formatCode>
                <c:ptCount val="64"/>
                <c:pt idx="0">
                  <c:v>0.36</c:v>
                </c:pt>
                <c:pt idx="1">
                  <c:v>0.35</c:v>
                </c:pt>
                <c:pt idx="2">
                  <c:v>0.3</c:v>
                </c:pt>
                <c:pt idx="3">
                  <c:v>0.25</c:v>
                </c:pt>
                <c:pt idx="4">
                  <c:v>0.2</c:v>
                </c:pt>
                <c:pt idx="5">
                  <c:v>0.15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0.09</c:v>
                </c:pt>
                <c:pt idx="10">
                  <c:v>0.08</c:v>
                </c:pt>
                <c:pt idx="11">
                  <c:v>0.07</c:v>
                </c:pt>
                <c:pt idx="12">
                  <c:v>0.08</c:v>
                </c:pt>
                <c:pt idx="13">
                  <c:v>0.08</c:v>
                </c:pt>
                <c:pt idx="14">
                  <c:v>0.06</c:v>
                </c:pt>
                <c:pt idx="15">
                  <c:v>0.06</c:v>
                </c:pt>
                <c:pt idx="16">
                  <c:v>0.08</c:v>
                </c:pt>
                <c:pt idx="17">
                  <c:v>0.06</c:v>
                </c:pt>
                <c:pt idx="18">
                  <c:v>0.09</c:v>
                </c:pt>
                <c:pt idx="19">
                  <c:v>0.06</c:v>
                </c:pt>
                <c:pt idx="20">
                  <c:v>0.07</c:v>
                </c:pt>
                <c:pt idx="21">
                  <c:v>0.06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0.05</c:v>
                </c:pt>
                <c:pt idx="26">
                  <c:v>0.05</c:v>
                </c:pt>
                <c:pt idx="27">
                  <c:v>0.04</c:v>
                </c:pt>
                <c:pt idx="28">
                  <c:v>0.05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0.04</c:v>
                </c:pt>
                <c:pt idx="36">
                  <c:v>0.04</c:v>
                </c:pt>
                <c:pt idx="37">
                  <c:v>0.04</c:v>
                </c:pt>
                <c:pt idx="38">
                  <c:v>0.04</c:v>
                </c:pt>
                <c:pt idx="39">
                  <c:v>0.04</c:v>
                </c:pt>
                <c:pt idx="40">
                  <c:v>0.03</c:v>
                </c:pt>
                <c:pt idx="41">
                  <c:v>0.01</c:v>
                </c:pt>
                <c:pt idx="42">
                  <c:v>0.0</c:v>
                </c:pt>
                <c:pt idx="43">
                  <c:v>0.04</c:v>
                </c:pt>
                <c:pt idx="44">
                  <c:v>-0.03</c:v>
                </c:pt>
                <c:pt idx="45">
                  <c:v>0.03</c:v>
                </c:pt>
                <c:pt idx="46">
                  <c:v>0.01</c:v>
                </c:pt>
                <c:pt idx="47">
                  <c:v>-0.015</c:v>
                </c:pt>
                <c:pt idx="48">
                  <c:v>0.026</c:v>
                </c:pt>
                <c:pt idx="49">
                  <c:v>0.032</c:v>
                </c:pt>
                <c:pt idx="50">
                  <c:v>0.024</c:v>
                </c:pt>
                <c:pt idx="51">
                  <c:v>0.024</c:v>
                </c:pt>
                <c:pt idx="52">
                  <c:v>0.033</c:v>
                </c:pt>
                <c:pt idx="53">
                  <c:v>0.034</c:v>
                </c:pt>
                <c:pt idx="54">
                  <c:v>0.044</c:v>
                </c:pt>
                <c:pt idx="55">
                  <c:v>0.043</c:v>
                </c:pt>
                <c:pt idx="56">
                  <c:v>0.05</c:v>
                </c:pt>
                <c:pt idx="57">
                  <c:v>0.031</c:v>
                </c:pt>
                <c:pt idx="58">
                  <c:v>0.029</c:v>
                </c:pt>
                <c:pt idx="59">
                  <c:v>0.044</c:v>
                </c:pt>
                <c:pt idx="60">
                  <c:v>0.016</c:v>
                </c:pt>
                <c:pt idx="61">
                  <c:v>0.027</c:v>
                </c:pt>
                <c:pt idx="62">
                  <c:v>0.018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DF7-4714-B938-6B310A89E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685646"/>
        <c:axId val="70785558"/>
      </c:lineChart>
      <c:dateAx>
        <c:axId val="9168564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70785558"/>
        <c:crosses val="autoZero"/>
        <c:auto val="1"/>
        <c:lblOffset val="100"/>
        <c:baseTimeUnit val="months"/>
      </c:dateAx>
      <c:valAx>
        <c:axId val="707855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CO"/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91685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4"/>
      </a:solidFill>
      <a:round/>
    </a:ln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/>
            </a:pPr>
            <a:r>
              <a:rPr lang="es-CO" sz="1800"/>
              <a:t>Índice Confianza Empresarial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'3_Confianza_Empresarial'!$C$25</c:f>
              <c:strCache>
                <c:ptCount val="1"/>
                <c:pt idx="0">
                  <c:v>BRASIL</c:v>
                </c:pt>
              </c:strCache>
            </c:strRef>
          </c:tx>
          <c:spPr>
            <a:ln w="28440">
              <a:solidFill>
                <a:srgbClr val="51C5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'3_Confianza_Empresarial'!$B$26:$B$73</c:f>
              <c:numCache>
                <c:formatCode>mmm\-yy</c:formatCode>
                <c:ptCount val="48"/>
                <c:pt idx="0">
                  <c:v>44866.0</c:v>
                </c:pt>
                <c:pt idx="1">
                  <c:v>44896.0</c:v>
                </c:pt>
                <c:pt idx="2">
                  <c:v>44927.0</c:v>
                </c:pt>
                <c:pt idx="3">
                  <c:v>44958.0</c:v>
                </c:pt>
                <c:pt idx="4">
                  <c:v>44986.0</c:v>
                </c:pt>
                <c:pt idx="5">
                  <c:v>45017.0</c:v>
                </c:pt>
                <c:pt idx="6">
                  <c:v>45047.0</c:v>
                </c:pt>
                <c:pt idx="7">
                  <c:v>45078.0</c:v>
                </c:pt>
                <c:pt idx="8">
                  <c:v>45108.0</c:v>
                </c:pt>
                <c:pt idx="9">
                  <c:v>45139.0</c:v>
                </c:pt>
                <c:pt idx="10">
                  <c:v>45170.0</c:v>
                </c:pt>
                <c:pt idx="11">
                  <c:v>45200.0</c:v>
                </c:pt>
                <c:pt idx="12">
                  <c:v>45231.0</c:v>
                </c:pt>
                <c:pt idx="13">
                  <c:v>45261.0</c:v>
                </c:pt>
                <c:pt idx="14">
                  <c:v>45292.0</c:v>
                </c:pt>
                <c:pt idx="15">
                  <c:v>45323.0</c:v>
                </c:pt>
                <c:pt idx="16">
                  <c:v>45352.0</c:v>
                </c:pt>
                <c:pt idx="17">
                  <c:v>45383.0</c:v>
                </c:pt>
                <c:pt idx="18">
                  <c:v>45413.0</c:v>
                </c:pt>
                <c:pt idx="19">
                  <c:v>45444.0</c:v>
                </c:pt>
                <c:pt idx="20">
                  <c:v>45474.0</c:v>
                </c:pt>
                <c:pt idx="21">
                  <c:v>45505.0</c:v>
                </c:pt>
                <c:pt idx="22">
                  <c:v>45536.0</c:v>
                </c:pt>
                <c:pt idx="23">
                  <c:v>45566.0</c:v>
                </c:pt>
                <c:pt idx="24">
                  <c:v>45597.0</c:v>
                </c:pt>
                <c:pt idx="25">
                  <c:v>45627.0</c:v>
                </c:pt>
                <c:pt idx="26">
                  <c:v>45658.0</c:v>
                </c:pt>
                <c:pt idx="27">
                  <c:v>45689.0</c:v>
                </c:pt>
                <c:pt idx="28">
                  <c:v>45717.0</c:v>
                </c:pt>
                <c:pt idx="29">
                  <c:v>45748.0</c:v>
                </c:pt>
                <c:pt idx="30">
                  <c:v>45778.0</c:v>
                </c:pt>
                <c:pt idx="31">
                  <c:v>45809.0</c:v>
                </c:pt>
                <c:pt idx="32">
                  <c:v>45839.0</c:v>
                </c:pt>
                <c:pt idx="33">
                  <c:v>45870.0</c:v>
                </c:pt>
                <c:pt idx="34">
                  <c:v>45901.0</c:v>
                </c:pt>
                <c:pt idx="35">
                  <c:v>45931.0</c:v>
                </c:pt>
                <c:pt idx="36">
                  <c:v>45962.0</c:v>
                </c:pt>
                <c:pt idx="37">
                  <c:v>45992.0</c:v>
                </c:pt>
                <c:pt idx="38">
                  <c:v>46023.0</c:v>
                </c:pt>
                <c:pt idx="39">
                  <c:v>46054.0</c:v>
                </c:pt>
                <c:pt idx="40">
                  <c:v>46082.0</c:v>
                </c:pt>
                <c:pt idx="41">
                  <c:v>46113.0</c:v>
                </c:pt>
                <c:pt idx="42">
                  <c:v>46143.0</c:v>
                </c:pt>
                <c:pt idx="43">
                  <c:v>46174.0</c:v>
                </c:pt>
                <c:pt idx="44">
                  <c:v>46204.0</c:v>
                </c:pt>
                <c:pt idx="45">
                  <c:v>46235.0</c:v>
                </c:pt>
                <c:pt idx="46">
                  <c:v>46266.0</c:v>
                </c:pt>
                <c:pt idx="47">
                  <c:v>46296.0</c:v>
                </c:pt>
              </c:numCache>
            </c:numRef>
          </c:cat>
          <c:val>
            <c:numRef>
              <c:f>'3_Confianza_Empresarial'!$C$26:$C$73</c:f>
              <c:numCache>
                <c:formatCode>0.00;[Red]\(0.00\);\-</c:formatCode>
                <c:ptCount val="48"/>
                <c:pt idx="0">
                  <c:v>60.0</c:v>
                </c:pt>
                <c:pt idx="1">
                  <c:v>51.0</c:v>
                </c:pt>
                <c:pt idx="2">
                  <c:v>53.0</c:v>
                </c:pt>
                <c:pt idx="3">
                  <c:v>52.0</c:v>
                </c:pt>
                <c:pt idx="4">
                  <c:v>49.0</c:v>
                </c:pt>
                <c:pt idx="5">
                  <c:v>50.0</c:v>
                </c:pt>
                <c:pt idx="6">
                  <c:v>51.0</c:v>
                </c:pt>
                <c:pt idx="7">
                  <c:v>49.0</c:v>
                </c:pt>
                <c:pt idx="8">
                  <c:v>49.0</c:v>
                </c:pt>
                <c:pt idx="9">
                  <c:v>51.0</c:v>
                </c:pt>
                <c:pt idx="10">
                  <c:v>50.0</c:v>
                </c:pt>
                <c:pt idx="11">
                  <c:v>51.0</c:v>
                </c:pt>
                <c:pt idx="12">
                  <c:v>53.0</c:v>
                </c:pt>
                <c:pt idx="13">
                  <c:v>50.0</c:v>
                </c:pt>
                <c:pt idx="14">
                  <c:v>50.0</c:v>
                </c:pt>
                <c:pt idx="15">
                  <c:v>51.0</c:v>
                </c:pt>
                <c:pt idx="16">
                  <c:v>53.0</c:v>
                </c:pt>
                <c:pt idx="17">
                  <c:v>53.0</c:v>
                </c:pt>
                <c:pt idx="18">
                  <c:v>53.0</c:v>
                </c:pt>
                <c:pt idx="19">
                  <c:v>51.0</c:v>
                </c:pt>
                <c:pt idx="20">
                  <c:v>52.0</c:v>
                </c:pt>
                <c:pt idx="21">
                  <c:v>52.0</c:v>
                </c:pt>
                <c:pt idx="22">
                  <c:v>50.0</c:v>
                </c:pt>
                <c:pt idx="23">
                  <c:v>51.0</c:v>
                </c:pt>
                <c:pt idx="24">
                  <c:v>53.0</c:v>
                </c:pt>
                <c:pt idx="25">
                  <c:v>53.0</c:v>
                </c:pt>
                <c:pt idx="26">
                  <c:v>51.0</c:v>
                </c:pt>
                <c:pt idx="27">
                  <c:v>49.1</c:v>
                </c:pt>
                <c:pt idx="28">
                  <c:v>49.2</c:v>
                </c:pt>
                <c:pt idx="29">
                  <c:v>48.0</c:v>
                </c:pt>
                <c:pt idx="30">
                  <c:v>48.9</c:v>
                </c:pt>
                <c:pt idx="31">
                  <c:v>48.6</c:v>
                </c:pt>
                <c:pt idx="32">
                  <c:v>47.3</c:v>
                </c:pt>
                <c:pt idx="33">
                  <c:v>46.1</c:v>
                </c:pt>
                <c:pt idx="34">
                  <c:v>46.2</c:v>
                </c:pt>
                <c:pt idx="35">
                  <c:v>47.2</c:v>
                </c:pt>
                <c:pt idx="36">
                  <c:v>48.3</c:v>
                </c:pt>
                <c:pt idx="37">
                  <c:v>48.0</c:v>
                </c:pt>
                <c:pt idx="38">
                  <c:v>48.5</c:v>
                </c:pt>
                <c:pt idx="39">
                  <c:v>47.0</c:v>
                </c:pt>
                <c:pt idx="40">
                  <c:v>46.6</c:v>
                </c:pt>
                <c:pt idx="41">
                  <c:v>45.2</c:v>
                </c:pt>
                <c:pt idx="42">
                  <c:v>47.2</c:v>
                </c:pt>
                <c:pt idx="43">
                  <c:v>46.7</c:v>
                </c:pt>
                <c:pt idx="44">
                  <c:v>44.4</c:v>
                </c:pt>
                <c:pt idx="45">
                  <c:v>46.3</c:v>
                </c:pt>
                <c:pt idx="46">
                  <c:v>44.9</c:v>
                </c:pt>
                <c:pt idx="47">
                  <c:v>46.2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B7-4C81-87A7-707C43753C91}"/>
            </c:ext>
          </c:extLst>
        </c:ser>
        <c:ser>
          <c:idx val="1"/>
          <c:order val="1"/>
          <c:tx>
            <c:strRef>
              <c:f>'3_Confianza_Empresarial'!$D$25</c:f>
              <c:strCache>
                <c:ptCount val="1"/>
                <c:pt idx="0">
                  <c:v>CHILE</c:v>
                </c:pt>
              </c:strCache>
            </c:strRef>
          </c:tx>
          <c:spPr>
            <a:ln w="28440">
              <a:solidFill>
                <a:schemeClr val="accent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'3_Confianza_Empresarial'!$B$26:$B$73</c:f>
              <c:numCache>
                <c:formatCode>mmm\-yy</c:formatCode>
                <c:ptCount val="48"/>
                <c:pt idx="0">
                  <c:v>44866.0</c:v>
                </c:pt>
                <c:pt idx="1">
                  <c:v>44896.0</c:v>
                </c:pt>
                <c:pt idx="2">
                  <c:v>44927.0</c:v>
                </c:pt>
                <c:pt idx="3">
                  <c:v>44958.0</c:v>
                </c:pt>
                <c:pt idx="4">
                  <c:v>44986.0</c:v>
                </c:pt>
                <c:pt idx="5">
                  <c:v>45017.0</c:v>
                </c:pt>
                <c:pt idx="6">
                  <c:v>45047.0</c:v>
                </c:pt>
                <c:pt idx="7">
                  <c:v>45078.0</c:v>
                </c:pt>
                <c:pt idx="8">
                  <c:v>45108.0</c:v>
                </c:pt>
                <c:pt idx="9">
                  <c:v>45139.0</c:v>
                </c:pt>
                <c:pt idx="10">
                  <c:v>45170.0</c:v>
                </c:pt>
                <c:pt idx="11">
                  <c:v>45200.0</c:v>
                </c:pt>
                <c:pt idx="12">
                  <c:v>45231.0</c:v>
                </c:pt>
                <c:pt idx="13">
                  <c:v>45261.0</c:v>
                </c:pt>
                <c:pt idx="14">
                  <c:v>45292.0</c:v>
                </c:pt>
                <c:pt idx="15">
                  <c:v>45323.0</c:v>
                </c:pt>
                <c:pt idx="16">
                  <c:v>45352.0</c:v>
                </c:pt>
                <c:pt idx="17">
                  <c:v>45383.0</c:v>
                </c:pt>
                <c:pt idx="18">
                  <c:v>45413.0</c:v>
                </c:pt>
                <c:pt idx="19">
                  <c:v>45444.0</c:v>
                </c:pt>
                <c:pt idx="20">
                  <c:v>45474.0</c:v>
                </c:pt>
                <c:pt idx="21">
                  <c:v>45505.0</c:v>
                </c:pt>
                <c:pt idx="22">
                  <c:v>45536.0</c:v>
                </c:pt>
                <c:pt idx="23">
                  <c:v>45566.0</c:v>
                </c:pt>
                <c:pt idx="24">
                  <c:v>45597.0</c:v>
                </c:pt>
                <c:pt idx="25">
                  <c:v>45627.0</c:v>
                </c:pt>
                <c:pt idx="26">
                  <c:v>45658.0</c:v>
                </c:pt>
                <c:pt idx="27">
                  <c:v>45689.0</c:v>
                </c:pt>
                <c:pt idx="28">
                  <c:v>45717.0</c:v>
                </c:pt>
                <c:pt idx="29">
                  <c:v>45748.0</c:v>
                </c:pt>
                <c:pt idx="30">
                  <c:v>45778.0</c:v>
                </c:pt>
                <c:pt idx="31">
                  <c:v>45809.0</c:v>
                </c:pt>
                <c:pt idx="32">
                  <c:v>45839.0</c:v>
                </c:pt>
                <c:pt idx="33">
                  <c:v>45870.0</c:v>
                </c:pt>
                <c:pt idx="34">
                  <c:v>45901.0</c:v>
                </c:pt>
                <c:pt idx="35">
                  <c:v>45931.0</c:v>
                </c:pt>
                <c:pt idx="36">
                  <c:v>45962.0</c:v>
                </c:pt>
                <c:pt idx="37">
                  <c:v>45992.0</c:v>
                </c:pt>
                <c:pt idx="38">
                  <c:v>46023.0</c:v>
                </c:pt>
                <c:pt idx="39">
                  <c:v>46054.0</c:v>
                </c:pt>
                <c:pt idx="40">
                  <c:v>46082.0</c:v>
                </c:pt>
                <c:pt idx="41">
                  <c:v>46113.0</c:v>
                </c:pt>
                <c:pt idx="42">
                  <c:v>46143.0</c:v>
                </c:pt>
                <c:pt idx="43">
                  <c:v>46174.0</c:v>
                </c:pt>
                <c:pt idx="44">
                  <c:v>46204.0</c:v>
                </c:pt>
                <c:pt idx="45">
                  <c:v>46235.0</c:v>
                </c:pt>
                <c:pt idx="46">
                  <c:v>46266.0</c:v>
                </c:pt>
                <c:pt idx="47">
                  <c:v>46296.0</c:v>
                </c:pt>
              </c:numCache>
            </c:numRef>
          </c:cat>
          <c:val>
            <c:numRef>
              <c:f>'3_Confianza_Empresarial'!$D$26:$D$73</c:f>
              <c:numCache>
                <c:formatCode>0.00;[Red]\(0.00\);\-</c:formatCode>
                <c:ptCount val="48"/>
                <c:pt idx="0">
                  <c:v>40.2912621359223</c:v>
                </c:pt>
                <c:pt idx="1">
                  <c:v>42.3202614379085</c:v>
                </c:pt>
                <c:pt idx="2">
                  <c:v>42.9487179487179</c:v>
                </c:pt>
                <c:pt idx="3">
                  <c:v>42.8571428571429</c:v>
                </c:pt>
                <c:pt idx="4">
                  <c:v>44.8333333333333</c:v>
                </c:pt>
                <c:pt idx="5">
                  <c:v>43.0555555555556</c:v>
                </c:pt>
                <c:pt idx="6">
                  <c:v>43.956043956044</c:v>
                </c:pt>
                <c:pt idx="7">
                  <c:v>44.5652173913044</c:v>
                </c:pt>
                <c:pt idx="8">
                  <c:v>46.415770609319</c:v>
                </c:pt>
                <c:pt idx="9">
                  <c:v>46.5579710144928</c:v>
                </c:pt>
                <c:pt idx="10">
                  <c:v>47.2868217054264</c:v>
                </c:pt>
                <c:pt idx="11">
                  <c:v>45.6043956043956</c:v>
                </c:pt>
                <c:pt idx="12">
                  <c:v>44.7674418604651</c:v>
                </c:pt>
                <c:pt idx="13">
                  <c:v>46.4814814814815</c:v>
                </c:pt>
                <c:pt idx="14">
                  <c:v>48.995983935743</c:v>
                </c:pt>
                <c:pt idx="15">
                  <c:v>50.0</c:v>
                </c:pt>
                <c:pt idx="16">
                  <c:v>52.5510204081633</c:v>
                </c:pt>
                <c:pt idx="17">
                  <c:v>48.3870967741936</c:v>
                </c:pt>
                <c:pt idx="18">
                  <c:v>48.1481481481482</c:v>
                </c:pt>
                <c:pt idx="19">
                  <c:v>51.4814814814815</c:v>
                </c:pt>
                <c:pt idx="20">
                  <c:v>49.0591397849462</c:v>
                </c:pt>
                <c:pt idx="21">
                  <c:v>49.5535714285714</c:v>
                </c:pt>
                <c:pt idx="22">
                  <c:v>48.9675516224189</c:v>
                </c:pt>
                <c:pt idx="23">
                  <c:v>48.4732824427481</c:v>
                </c:pt>
                <c:pt idx="24">
                  <c:v>48.7179487179487</c:v>
                </c:pt>
                <c:pt idx="25">
                  <c:v>48.4251968503937</c:v>
                </c:pt>
                <c:pt idx="26">
                  <c:v>50.6410256410256</c:v>
                </c:pt>
                <c:pt idx="27">
                  <c:v>51.9174041297935</c:v>
                </c:pt>
                <c:pt idx="28">
                  <c:v>50.5208333333333</c:v>
                </c:pt>
                <c:pt idx="29">
                  <c:v>50.8196721311475</c:v>
                </c:pt>
                <c:pt idx="30">
                  <c:v>51.8817204301075</c:v>
                </c:pt>
                <c:pt idx="31">
                  <c:v>50.4065040650407</c:v>
                </c:pt>
                <c:pt idx="32">
                  <c:v>51.2</c:v>
                </c:pt>
                <c:pt idx="33">
                  <c:v>47.8991596638655</c:v>
                </c:pt>
                <c:pt idx="34">
                  <c:v>50.1501501501501</c:v>
                </c:pt>
                <c:pt idx="35">
                  <c:v>49.1071428571428</c:v>
                </c:pt>
                <c:pt idx="36">
                  <c:v>52.0661157024793</c:v>
                </c:pt>
                <c:pt idx="37">
                  <c:v>53.6231884057971</c:v>
                </c:pt>
                <c:pt idx="38">
                  <c:v>57.6149425287356</c:v>
                </c:pt>
                <c:pt idx="39">
                  <c:v>57.67</c:v>
                </c:pt>
                <c:pt idx="40">
                  <c:v>53.0</c:v>
                </c:pt>
                <c:pt idx="41">
                  <c:v>53.74</c:v>
                </c:pt>
                <c:pt idx="42">
                  <c:v>51.97</c:v>
                </c:pt>
                <c:pt idx="43">
                  <c:v>51.34</c:v>
                </c:pt>
                <c:pt idx="44">
                  <c:v>50.88</c:v>
                </c:pt>
                <c:pt idx="45">
                  <c:v>53.09</c:v>
                </c:pt>
                <c:pt idx="46">
                  <c:v>51.8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B7-4C81-87A7-707C43753C91}"/>
            </c:ext>
          </c:extLst>
        </c:ser>
        <c:ser>
          <c:idx val="2"/>
          <c:order val="2"/>
          <c:tx>
            <c:strRef>
              <c:f>'3_Confianza_Empresarial'!$E$25</c:f>
              <c:strCache>
                <c:ptCount val="1"/>
                <c:pt idx="0">
                  <c:v>COLOMBIA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'3_Confianza_Empresarial'!$B$26:$B$73</c:f>
              <c:numCache>
                <c:formatCode>mmm\-yy</c:formatCode>
                <c:ptCount val="48"/>
                <c:pt idx="0">
                  <c:v>44866.0</c:v>
                </c:pt>
                <c:pt idx="1">
                  <c:v>44896.0</c:v>
                </c:pt>
                <c:pt idx="2">
                  <c:v>44927.0</c:v>
                </c:pt>
                <c:pt idx="3">
                  <c:v>44958.0</c:v>
                </c:pt>
                <c:pt idx="4">
                  <c:v>44986.0</c:v>
                </c:pt>
                <c:pt idx="5">
                  <c:v>45017.0</c:v>
                </c:pt>
                <c:pt idx="6">
                  <c:v>45047.0</c:v>
                </c:pt>
                <c:pt idx="7">
                  <c:v>45078.0</c:v>
                </c:pt>
                <c:pt idx="8">
                  <c:v>45108.0</c:v>
                </c:pt>
                <c:pt idx="9">
                  <c:v>45139.0</c:v>
                </c:pt>
                <c:pt idx="10">
                  <c:v>45170.0</c:v>
                </c:pt>
                <c:pt idx="11">
                  <c:v>45200.0</c:v>
                </c:pt>
                <c:pt idx="12">
                  <c:v>45231.0</c:v>
                </c:pt>
                <c:pt idx="13">
                  <c:v>45261.0</c:v>
                </c:pt>
                <c:pt idx="14">
                  <c:v>45292.0</c:v>
                </c:pt>
                <c:pt idx="15">
                  <c:v>45323.0</c:v>
                </c:pt>
                <c:pt idx="16">
                  <c:v>45352.0</c:v>
                </c:pt>
                <c:pt idx="17">
                  <c:v>45383.0</c:v>
                </c:pt>
                <c:pt idx="18">
                  <c:v>45413.0</c:v>
                </c:pt>
                <c:pt idx="19">
                  <c:v>45444.0</c:v>
                </c:pt>
                <c:pt idx="20">
                  <c:v>45474.0</c:v>
                </c:pt>
                <c:pt idx="21">
                  <c:v>45505.0</c:v>
                </c:pt>
                <c:pt idx="22">
                  <c:v>45536.0</c:v>
                </c:pt>
                <c:pt idx="23">
                  <c:v>45566.0</c:v>
                </c:pt>
                <c:pt idx="24">
                  <c:v>45597.0</c:v>
                </c:pt>
                <c:pt idx="25">
                  <c:v>45627.0</c:v>
                </c:pt>
                <c:pt idx="26">
                  <c:v>45658.0</c:v>
                </c:pt>
                <c:pt idx="27">
                  <c:v>45689.0</c:v>
                </c:pt>
                <c:pt idx="28">
                  <c:v>45717.0</c:v>
                </c:pt>
                <c:pt idx="29">
                  <c:v>45748.0</c:v>
                </c:pt>
                <c:pt idx="30">
                  <c:v>45778.0</c:v>
                </c:pt>
                <c:pt idx="31">
                  <c:v>45809.0</c:v>
                </c:pt>
                <c:pt idx="32">
                  <c:v>45839.0</c:v>
                </c:pt>
                <c:pt idx="33">
                  <c:v>45870.0</c:v>
                </c:pt>
                <c:pt idx="34">
                  <c:v>45901.0</c:v>
                </c:pt>
                <c:pt idx="35">
                  <c:v>45931.0</c:v>
                </c:pt>
                <c:pt idx="36">
                  <c:v>45962.0</c:v>
                </c:pt>
                <c:pt idx="37">
                  <c:v>45992.0</c:v>
                </c:pt>
                <c:pt idx="38">
                  <c:v>46023.0</c:v>
                </c:pt>
                <c:pt idx="39">
                  <c:v>46054.0</c:v>
                </c:pt>
                <c:pt idx="40">
                  <c:v>46082.0</c:v>
                </c:pt>
                <c:pt idx="41">
                  <c:v>46113.0</c:v>
                </c:pt>
                <c:pt idx="42">
                  <c:v>46143.0</c:v>
                </c:pt>
                <c:pt idx="43">
                  <c:v>46174.0</c:v>
                </c:pt>
                <c:pt idx="44">
                  <c:v>46204.0</c:v>
                </c:pt>
                <c:pt idx="45">
                  <c:v>46235.0</c:v>
                </c:pt>
                <c:pt idx="46">
                  <c:v>46266.0</c:v>
                </c:pt>
                <c:pt idx="47">
                  <c:v>46296.0</c:v>
                </c:pt>
              </c:numCache>
            </c:numRef>
          </c:cat>
          <c:val>
            <c:numRef>
              <c:f>'3_Confianza_Empresarial'!$E$26:$E$73</c:f>
              <c:numCache>
                <c:formatCode>0.00;[Red]\(0.00\);\-</c:formatCode>
                <c:ptCount val="48"/>
                <c:pt idx="0">
                  <c:v>59.6</c:v>
                </c:pt>
                <c:pt idx="1">
                  <c:v>61.3</c:v>
                </c:pt>
                <c:pt idx="2">
                  <c:v>64.85</c:v>
                </c:pt>
                <c:pt idx="3">
                  <c:v>56.35</c:v>
                </c:pt>
                <c:pt idx="4">
                  <c:v>58.6</c:v>
                </c:pt>
                <c:pt idx="5">
                  <c:v>55.55</c:v>
                </c:pt>
                <c:pt idx="6">
                  <c:v>70.0</c:v>
                </c:pt>
                <c:pt idx="7">
                  <c:v>58.9</c:v>
                </c:pt>
                <c:pt idx="8">
                  <c:v>60.85</c:v>
                </c:pt>
                <c:pt idx="9">
                  <c:v>56.2</c:v>
                </c:pt>
                <c:pt idx="10">
                  <c:v>57.55</c:v>
                </c:pt>
                <c:pt idx="11">
                  <c:v>57.35</c:v>
                </c:pt>
                <c:pt idx="12">
                  <c:v>56.15</c:v>
                </c:pt>
                <c:pt idx="13">
                  <c:v>58.3</c:v>
                </c:pt>
                <c:pt idx="14">
                  <c:v>57.25</c:v>
                </c:pt>
                <c:pt idx="15">
                  <c:v>55.45</c:v>
                </c:pt>
                <c:pt idx="16">
                  <c:v>57.05</c:v>
                </c:pt>
                <c:pt idx="17">
                  <c:v>57.65</c:v>
                </c:pt>
                <c:pt idx="18">
                  <c:v>56.25</c:v>
                </c:pt>
                <c:pt idx="19">
                  <c:v>54.3</c:v>
                </c:pt>
                <c:pt idx="20">
                  <c:v>58.5</c:v>
                </c:pt>
                <c:pt idx="21">
                  <c:v>56.9</c:v>
                </c:pt>
                <c:pt idx="22">
                  <c:v>56.1</c:v>
                </c:pt>
                <c:pt idx="23">
                  <c:v>58.9</c:v>
                </c:pt>
                <c:pt idx="24">
                  <c:v>58.8</c:v>
                </c:pt>
                <c:pt idx="25">
                  <c:v>60.3</c:v>
                </c:pt>
                <c:pt idx="26">
                  <c:v>60.8</c:v>
                </c:pt>
                <c:pt idx="27">
                  <c:v>62.25</c:v>
                </c:pt>
                <c:pt idx="28">
                  <c:v>60.9</c:v>
                </c:pt>
                <c:pt idx="29">
                  <c:v>62.45</c:v>
                </c:pt>
                <c:pt idx="30">
                  <c:v>60.5</c:v>
                </c:pt>
                <c:pt idx="31">
                  <c:v>62.0</c:v>
                </c:pt>
                <c:pt idx="32">
                  <c:v>63.6</c:v>
                </c:pt>
                <c:pt idx="33">
                  <c:v>63.25</c:v>
                </c:pt>
                <c:pt idx="34">
                  <c:v>60.2</c:v>
                </c:pt>
                <c:pt idx="35">
                  <c:v>61.05</c:v>
                </c:pt>
                <c:pt idx="36">
                  <c:v>61.15</c:v>
                </c:pt>
                <c:pt idx="37">
                  <c:v>58.9</c:v>
                </c:pt>
                <c:pt idx="38">
                  <c:v>63.0</c:v>
                </c:pt>
                <c:pt idx="39">
                  <c:v>61.3</c:v>
                </c:pt>
                <c:pt idx="40">
                  <c:v>61.4</c:v>
                </c:pt>
                <c:pt idx="41">
                  <c:v>60.9</c:v>
                </c:pt>
                <c:pt idx="42">
                  <c:v>60.25</c:v>
                </c:pt>
                <c:pt idx="43">
                  <c:v>64.3</c:v>
                </c:pt>
                <c:pt idx="44">
                  <c:v>63.75</c:v>
                </c:pt>
                <c:pt idx="45">
                  <c:v>61.65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6B7-4C81-87A7-707C43753C91}"/>
            </c:ext>
          </c:extLst>
        </c:ser>
        <c:ser>
          <c:idx val="3"/>
          <c:order val="3"/>
          <c:tx>
            <c:strRef>
              <c:f>'3_Confianza_Empresarial'!$F$25</c:f>
              <c:strCache>
                <c:ptCount val="1"/>
                <c:pt idx="0">
                  <c:v>MEXICO</c:v>
                </c:pt>
              </c:strCache>
            </c:strRef>
          </c:tx>
          <c:spPr>
            <a:ln w="28440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'3_Confianza_Empresarial'!$B$26:$B$73</c:f>
              <c:numCache>
                <c:formatCode>mmm\-yy</c:formatCode>
                <c:ptCount val="48"/>
                <c:pt idx="0">
                  <c:v>44866.0</c:v>
                </c:pt>
                <c:pt idx="1">
                  <c:v>44896.0</c:v>
                </c:pt>
                <c:pt idx="2">
                  <c:v>44927.0</c:v>
                </c:pt>
                <c:pt idx="3">
                  <c:v>44958.0</c:v>
                </c:pt>
                <c:pt idx="4">
                  <c:v>44986.0</c:v>
                </c:pt>
                <c:pt idx="5">
                  <c:v>45017.0</c:v>
                </c:pt>
                <c:pt idx="6">
                  <c:v>45047.0</c:v>
                </c:pt>
                <c:pt idx="7">
                  <c:v>45078.0</c:v>
                </c:pt>
                <c:pt idx="8">
                  <c:v>45108.0</c:v>
                </c:pt>
                <c:pt idx="9">
                  <c:v>45139.0</c:v>
                </c:pt>
                <c:pt idx="10">
                  <c:v>45170.0</c:v>
                </c:pt>
                <c:pt idx="11">
                  <c:v>45200.0</c:v>
                </c:pt>
                <c:pt idx="12">
                  <c:v>45231.0</c:v>
                </c:pt>
                <c:pt idx="13">
                  <c:v>45261.0</c:v>
                </c:pt>
                <c:pt idx="14">
                  <c:v>45292.0</c:v>
                </c:pt>
                <c:pt idx="15">
                  <c:v>45323.0</c:v>
                </c:pt>
                <c:pt idx="16">
                  <c:v>45352.0</c:v>
                </c:pt>
                <c:pt idx="17">
                  <c:v>45383.0</c:v>
                </c:pt>
                <c:pt idx="18">
                  <c:v>45413.0</c:v>
                </c:pt>
                <c:pt idx="19">
                  <c:v>45444.0</c:v>
                </c:pt>
                <c:pt idx="20">
                  <c:v>45474.0</c:v>
                </c:pt>
                <c:pt idx="21">
                  <c:v>45505.0</c:v>
                </c:pt>
                <c:pt idx="22">
                  <c:v>45536.0</c:v>
                </c:pt>
                <c:pt idx="23">
                  <c:v>45566.0</c:v>
                </c:pt>
                <c:pt idx="24">
                  <c:v>45597.0</c:v>
                </c:pt>
                <c:pt idx="25">
                  <c:v>45627.0</c:v>
                </c:pt>
                <c:pt idx="26">
                  <c:v>45658.0</c:v>
                </c:pt>
                <c:pt idx="27">
                  <c:v>45689.0</c:v>
                </c:pt>
                <c:pt idx="28">
                  <c:v>45717.0</c:v>
                </c:pt>
                <c:pt idx="29">
                  <c:v>45748.0</c:v>
                </c:pt>
                <c:pt idx="30">
                  <c:v>45778.0</c:v>
                </c:pt>
                <c:pt idx="31">
                  <c:v>45809.0</c:v>
                </c:pt>
                <c:pt idx="32">
                  <c:v>45839.0</c:v>
                </c:pt>
                <c:pt idx="33">
                  <c:v>45870.0</c:v>
                </c:pt>
                <c:pt idx="34">
                  <c:v>45901.0</c:v>
                </c:pt>
                <c:pt idx="35">
                  <c:v>45931.0</c:v>
                </c:pt>
                <c:pt idx="36">
                  <c:v>45962.0</c:v>
                </c:pt>
                <c:pt idx="37">
                  <c:v>45992.0</c:v>
                </c:pt>
                <c:pt idx="38">
                  <c:v>46023.0</c:v>
                </c:pt>
                <c:pt idx="39">
                  <c:v>46054.0</c:v>
                </c:pt>
                <c:pt idx="40">
                  <c:v>46082.0</c:v>
                </c:pt>
                <c:pt idx="41">
                  <c:v>46113.0</c:v>
                </c:pt>
                <c:pt idx="42">
                  <c:v>46143.0</c:v>
                </c:pt>
                <c:pt idx="43">
                  <c:v>46174.0</c:v>
                </c:pt>
                <c:pt idx="44">
                  <c:v>46204.0</c:v>
                </c:pt>
                <c:pt idx="45">
                  <c:v>46235.0</c:v>
                </c:pt>
                <c:pt idx="46">
                  <c:v>46266.0</c:v>
                </c:pt>
                <c:pt idx="47">
                  <c:v>46296.0</c:v>
                </c:pt>
              </c:numCache>
            </c:numRef>
          </c:cat>
          <c:val>
            <c:numRef>
              <c:f>'3_Confianza_Empresarial'!$F$26:$F$73</c:f>
              <c:numCache>
                <c:formatCode>0.00;[Red]\(0.00\);\-</c:formatCode>
                <c:ptCount val="48"/>
                <c:pt idx="0">
                  <c:v>49.603</c:v>
                </c:pt>
                <c:pt idx="1">
                  <c:v>47.402</c:v>
                </c:pt>
                <c:pt idx="2">
                  <c:v>48.55</c:v>
                </c:pt>
                <c:pt idx="3">
                  <c:v>51.775</c:v>
                </c:pt>
                <c:pt idx="4">
                  <c:v>53.611</c:v>
                </c:pt>
                <c:pt idx="5">
                  <c:v>54.776</c:v>
                </c:pt>
                <c:pt idx="6">
                  <c:v>55.68</c:v>
                </c:pt>
                <c:pt idx="7">
                  <c:v>54.955</c:v>
                </c:pt>
                <c:pt idx="8">
                  <c:v>56.536</c:v>
                </c:pt>
                <c:pt idx="9">
                  <c:v>56.436</c:v>
                </c:pt>
                <c:pt idx="10">
                  <c:v>56.361</c:v>
                </c:pt>
                <c:pt idx="11">
                  <c:v>55.449</c:v>
                </c:pt>
                <c:pt idx="12">
                  <c:v>56.048</c:v>
                </c:pt>
                <c:pt idx="13">
                  <c:v>56.168</c:v>
                </c:pt>
                <c:pt idx="14">
                  <c:v>55.971</c:v>
                </c:pt>
                <c:pt idx="15">
                  <c:v>54.975</c:v>
                </c:pt>
                <c:pt idx="16">
                  <c:v>54.757</c:v>
                </c:pt>
                <c:pt idx="17">
                  <c:v>54.957</c:v>
                </c:pt>
                <c:pt idx="18">
                  <c:v>54.63688582</c:v>
                </c:pt>
                <c:pt idx="19">
                  <c:v>53.14989338</c:v>
                </c:pt>
                <c:pt idx="20">
                  <c:v>53.49209603</c:v>
                </c:pt>
                <c:pt idx="21">
                  <c:v>52.74052573</c:v>
                </c:pt>
                <c:pt idx="22">
                  <c:v>50.98550456</c:v>
                </c:pt>
                <c:pt idx="23">
                  <c:v>51.9061832</c:v>
                </c:pt>
                <c:pt idx="24">
                  <c:v>51.48463635</c:v>
                </c:pt>
                <c:pt idx="25">
                  <c:v>51.89661983</c:v>
                </c:pt>
                <c:pt idx="26">
                  <c:v>51.37490678</c:v>
                </c:pt>
                <c:pt idx="27">
                  <c:v>50.11744319</c:v>
                </c:pt>
                <c:pt idx="28">
                  <c:v>49.33781737</c:v>
                </c:pt>
                <c:pt idx="29">
                  <c:v>48.68945541</c:v>
                </c:pt>
                <c:pt idx="30">
                  <c:v>48.72220277</c:v>
                </c:pt>
                <c:pt idx="31">
                  <c:v>48.62362209</c:v>
                </c:pt>
                <c:pt idx="32">
                  <c:v>48.96833346</c:v>
                </c:pt>
                <c:pt idx="33">
                  <c:v>49.30265672</c:v>
                </c:pt>
                <c:pt idx="34">
                  <c:v>49.31939906</c:v>
                </c:pt>
                <c:pt idx="35">
                  <c:v>48.51227577</c:v>
                </c:pt>
                <c:pt idx="36">
                  <c:v>48.30311363</c:v>
                </c:pt>
                <c:pt idx="37">
                  <c:v>48.14813029</c:v>
                </c:pt>
                <c:pt idx="38">
                  <c:v>48.00423987</c:v>
                </c:pt>
                <c:pt idx="39">
                  <c:v>48.79611143</c:v>
                </c:pt>
                <c:pt idx="40">
                  <c:v>48.4422741</c:v>
                </c:pt>
                <c:pt idx="41">
                  <c:v>48.30464978</c:v>
                </c:pt>
                <c:pt idx="42">
                  <c:v>47.8</c:v>
                </c:pt>
                <c:pt idx="43">
                  <c:v>48.0</c:v>
                </c:pt>
                <c:pt idx="44">
                  <c:v>48.0</c:v>
                </c:pt>
                <c:pt idx="45">
                  <c:v>48.0</c:v>
                </c:pt>
                <c:pt idx="46">
                  <c:v>47.9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6B7-4C81-87A7-707C43753C91}"/>
            </c:ext>
          </c:extLst>
        </c:ser>
        <c:ser>
          <c:idx val="4"/>
          <c:order val="4"/>
          <c:tx>
            <c:strRef>
              <c:f>'3_Confianza_Empresarial'!$G$25</c:f>
              <c:strCache>
                <c:ptCount val="1"/>
                <c:pt idx="0">
                  <c:v>PERU</c:v>
                </c:pt>
              </c:strCache>
            </c:strRef>
          </c:tx>
          <c:spPr>
            <a:ln w="28440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'3_Confianza_Empresarial'!$B$26:$B$73</c:f>
              <c:numCache>
                <c:formatCode>mmm\-yy</c:formatCode>
                <c:ptCount val="48"/>
                <c:pt idx="0">
                  <c:v>44866.0</c:v>
                </c:pt>
                <c:pt idx="1">
                  <c:v>44896.0</c:v>
                </c:pt>
                <c:pt idx="2">
                  <c:v>44927.0</c:v>
                </c:pt>
                <c:pt idx="3">
                  <c:v>44958.0</c:v>
                </c:pt>
                <c:pt idx="4">
                  <c:v>44986.0</c:v>
                </c:pt>
                <c:pt idx="5">
                  <c:v>45017.0</c:v>
                </c:pt>
                <c:pt idx="6">
                  <c:v>45047.0</c:v>
                </c:pt>
                <c:pt idx="7">
                  <c:v>45078.0</c:v>
                </c:pt>
                <c:pt idx="8">
                  <c:v>45108.0</c:v>
                </c:pt>
                <c:pt idx="9">
                  <c:v>45139.0</c:v>
                </c:pt>
                <c:pt idx="10">
                  <c:v>45170.0</c:v>
                </c:pt>
                <c:pt idx="11">
                  <c:v>45200.0</c:v>
                </c:pt>
                <c:pt idx="12">
                  <c:v>45231.0</c:v>
                </c:pt>
                <c:pt idx="13">
                  <c:v>45261.0</c:v>
                </c:pt>
                <c:pt idx="14">
                  <c:v>45292.0</c:v>
                </c:pt>
                <c:pt idx="15">
                  <c:v>45323.0</c:v>
                </c:pt>
                <c:pt idx="16">
                  <c:v>45352.0</c:v>
                </c:pt>
                <c:pt idx="17">
                  <c:v>45383.0</c:v>
                </c:pt>
                <c:pt idx="18">
                  <c:v>45413.0</c:v>
                </c:pt>
                <c:pt idx="19">
                  <c:v>45444.0</c:v>
                </c:pt>
                <c:pt idx="20">
                  <c:v>45474.0</c:v>
                </c:pt>
                <c:pt idx="21">
                  <c:v>45505.0</c:v>
                </c:pt>
                <c:pt idx="22">
                  <c:v>45536.0</c:v>
                </c:pt>
                <c:pt idx="23">
                  <c:v>45566.0</c:v>
                </c:pt>
                <c:pt idx="24">
                  <c:v>45597.0</c:v>
                </c:pt>
                <c:pt idx="25">
                  <c:v>45627.0</c:v>
                </c:pt>
                <c:pt idx="26">
                  <c:v>45658.0</c:v>
                </c:pt>
                <c:pt idx="27">
                  <c:v>45689.0</c:v>
                </c:pt>
                <c:pt idx="28">
                  <c:v>45717.0</c:v>
                </c:pt>
                <c:pt idx="29">
                  <c:v>45748.0</c:v>
                </c:pt>
                <c:pt idx="30">
                  <c:v>45778.0</c:v>
                </c:pt>
                <c:pt idx="31">
                  <c:v>45809.0</c:v>
                </c:pt>
                <c:pt idx="32">
                  <c:v>45839.0</c:v>
                </c:pt>
                <c:pt idx="33">
                  <c:v>45870.0</c:v>
                </c:pt>
                <c:pt idx="34">
                  <c:v>45901.0</c:v>
                </c:pt>
                <c:pt idx="35">
                  <c:v>45931.0</c:v>
                </c:pt>
                <c:pt idx="36">
                  <c:v>45962.0</c:v>
                </c:pt>
                <c:pt idx="37">
                  <c:v>45992.0</c:v>
                </c:pt>
                <c:pt idx="38">
                  <c:v>46023.0</c:v>
                </c:pt>
                <c:pt idx="39">
                  <c:v>46054.0</c:v>
                </c:pt>
                <c:pt idx="40">
                  <c:v>46082.0</c:v>
                </c:pt>
                <c:pt idx="41">
                  <c:v>46113.0</c:v>
                </c:pt>
                <c:pt idx="42">
                  <c:v>46143.0</c:v>
                </c:pt>
                <c:pt idx="43">
                  <c:v>46174.0</c:v>
                </c:pt>
                <c:pt idx="44">
                  <c:v>46204.0</c:v>
                </c:pt>
                <c:pt idx="45">
                  <c:v>46235.0</c:v>
                </c:pt>
                <c:pt idx="46">
                  <c:v>46266.0</c:v>
                </c:pt>
                <c:pt idx="47">
                  <c:v>46296.0</c:v>
                </c:pt>
              </c:numCache>
            </c:numRef>
          </c:cat>
          <c:val>
            <c:numRef>
              <c:f>'3_Confianza_Empresarial'!$G$26:$G$73</c:f>
              <c:numCache>
                <c:formatCode>0.00;[Red]\(0.00\);\-</c:formatCode>
                <c:ptCount val="48"/>
                <c:pt idx="0">
                  <c:v>49.46</c:v>
                </c:pt>
                <c:pt idx="1">
                  <c:v>58.49</c:v>
                </c:pt>
                <c:pt idx="2">
                  <c:v>50.94</c:v>
                </c:pt>
                <c:pt idx="3">
                  <c:v>54.7</c:v>
                </c:pt>
                <c:pt idx="4">
                  <c:v>54.53</c:v>
                </c:pt>
                <c:pt idx="5">
                  <c:v>54.28</c:v>
                </c:pt>
                <c:pt idx="6">
                  <c:v>57.98</c:v>
                </c:pt>
                <c:pt idx="7">
                  <c:v>54.47</c:v>
                </c:pt>
                <c:pt idx="8">
                  <c:v>54.28</c:v>
                </c:pt>
                <c:pt idx="9">
                  <c:v>56.25</c:v>
                </c:pt>
                <c:pt idx="10">
                  <c:v>53.15</c:v>
                </c:pt>
                <c:pt idx="11">
                  <c:v>50.6</c:v>
                </c:pt>
                <c:pt idx="12">
                  <c:v>51.36</c:v>
                </c:pt>
                <c:pt idx="13">
                  <c:v>56.63</c:v>
                </c:pt>
                <c:pt idx="14">
                  <c:v>55.38</c:v>
                </c:pt>
                <c:pt idx="15">
                  <c:v>60.83</c:v>
                </c:pt>
                <c:pt idx="16">
                  <c:v>60.42</c:v>
                </c:pt>
                <c:pt idx="17">
                  <c:v>58.65</c:v>
                </c:pt>
                <c:pt idx="18">
                  <c:v>60.2</c:v>
                </c:pt>
                <c:pt idx="19">
                  <c:v>59.23</c:v>
                </c:pt>
                <c:pt idx="20">
                  <c:v>60.12</c:v>
                </c:pt>
                <c:pt idx="21">
                  <c:v>60.73</c:v>
                </c:pt>
                <c:pt idx="22">
                  <c:v>60.04</c:v>
                </c:pt>
                <c:pt idx="23">
                  <c:v>62.15</c:v>
                </c:pt>
                <c:pt idx="24">
                  <c:v>60.48</c:v>
                </c:pt>
                <c:pt idx="25">
                  <c:v>58.76</c:v>
                </c:pt>
                <c:pt idx="26">
                  <c:v>64.53</c:v>
                </c:pt>
                <c:pt idx="27">
                  <c:v>61.28</c:v>
                </c:pt>
                <c:pt idx="28">
                  <c:v>61.73</c:v>
                </c:pt>
                <c:pt idx="29">
                  <c:v>62.59</c:v>
                </c:pt>
                <c:pt idx="30">
                  <c:v>62.23</c:v>
                </c:pt>
                <c:pt idx="31">
                  <c:v>60.333333333333</c:v>
                </c:pt>
                <c:pt idx="32">
                  <c:v>61.616161616162</c:v>
                </c:pt>
                <c:pt idx="33">
                  <c:v>61.948529411765</c:v>
                </c:pt>
                <c:pt idx="34">
                  <c:v>64.51048951049</c:v>
                </c:pt>
                <c:pt idx="35">
                  <c:v>65.734265734266</c:v>
                </c:pt>
                <c:pt idx="36">
                  <c:v>66.153846153846</c:v>
                </c:pt>
                <c:pt idx="37">
                  <c:v>64.561403508772</c:v>
                </c:pt>
                <c:pt idx="38">
                  <c:v>67.557251908397</c:v>
                </c:pt>
                <c:pt idx="39">
                  <c:v>62.007874015748</c:v>
                </c:pt>
                <c:pt idx="40">
                  <c:v>62.121212121212</c:v>
                </c:pt>
                <c:pt idx="41">
                  <c:v>56.488549618321</c:v>
                </c:pt>
                <c:pt idx="42">
                  <c:v>58.75486381323</c:v>
                </c:pt>
                <c:pt idx="43">
                  <c:v>68.374558303887</c:v>
                </c:pt>
                <c:pt idx="44">
                  <c:v>67.760617760618</c:v>
                </c:pt>
                <c:pt idx="45">
                  <c:v>67.283950617284</c:v>
                </c:pt>
                <c:pt idx="46">
                  <c:v>66.730038022814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6B7-4C81-87A7-707C43753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444168"/>
        <c:axId val="21655664"/>
      </c:lineChart>
      <c:dateAx>
        <c:axId val="4744416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21655664"/>
        <c:crosses val="autoZero"/>
        <c:auto val="1"/>
        <c:lblOffset val="100"/>
        <c:baseTimeUnit val="months"/>
      </c:dateAx>
      <c:valAx>
        <c:axId val="21655664"/>
        <c:scaling>
          <c:orientation val="minMax"/>
          <c:max val="72"/>
          <c:min val="40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CO"/>
                  <a:t>Índice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\(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47444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4"/>
      </a:solidFill>
      <a:round/>
    </a:ln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/>
            </a:pPr>
            <a:r>
              <a:rPr lang="es-CO" sz="1800"/>
              <a:t>Índice Confianza Consumidor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'4_Confianza_Consumidor'!$C$26</c:f>
              <c:strCache>
                <c:ptCount val="1"/>
                <c:pt idx="0">
                  <c:v>BRASIL</c:v>
                </c:pt>
              </c:strCache>
            </c:strRef>
          </c:tx>
          <c:spPr>
            <a:ln w="28440">
              <a:solidFill>
                <a:srgbClr val="51C5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'4_Confianza_Consumidor'!$B$27:$B$94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'4_Confianza_Consumidor'!$C$27:$C$94</c:f>
              <c:numCache>
                <c:formatCode>0.00;[Red]\(0.00\);\-</c:formatCode>
                <c:ptCount val="68"/>
                <c:pt idx="0">
                  <c:v>58.115</c:v>
                </c:pt>
                <c:pt idx="1">
                  <c:v>56.45</c:v>
                </c:pt>
                <c:pt idx="2">
                  <c:v>52.475</c:v>
                </c:pt>
                <c:pt idx="3">
                  <c:v>52.95</c:v>
                </c:pt>
                <c:pt idx="4">
                  <c:v>53.66</c:v>
                </c:pt>
                <c:pt idx="5">
                  <c:v>55.49</c:v>
                </c:pt>
                <c:pt idx="6">
                  <c:v>55.995</c:v>
                </c:pt>
                <c:pt idx="7">
                  <c:v>57.33</c:v>
                </c:pt>
                <c:pt idx="8">
                  <c:v>54.685</c:v>
                </c:pt>
                <c:pt idx="9">
                  <c:v>54.675</c:v>
                </c:pt>
                <c:pt idx="10">
                  <c:v>56.0</c:v>
                </c:pt>
                <c:pt idx="11">
                  <c:v>54.175</c:v>
                </c:pt>
                <c:pt idx="12">
                  <c:v>52.025</c:v>
                </c:pt>
                <c:pt idx="13">
                  <c:v>52.56</c:v>
                </c:pt>
                <c:pt idx="14">
                  <c:v>52.175</c:v>
                </c:pt>
                <c:pt idx="15">
                  <c:v>52.935</c:v>
                </c:pt>
                <c:pt idx="16">
                  <c:v>51.8</c:v>
                </c:pt>
                <c:pt idx="17">
                  <c:v>52.79</c:v>
                </c:pt>
                <c:pt idx="18">
                  <c:v>53.38</c:v>
                </c:pt>
                <c:pt idx="19">
                  <c:v>55.73</c:v>
                </c:pt>
                <c:pt idx="20">
                  <c:v>57.115</c:v>
                </c:pt>
                <c:pt idx="21">
                  <c:v>58.395</c:v>
                </c:pt>
                <c:pt idx="22">
                  <c:v>61.42</c:v>
                </c:pt>
                <c:pt idx="23">
                  <c:v>62.69</c:v>
                </c:pt>
                <c:pt idx="24">
                  <c:v>64.39</c:v>
                </c:pt>
                <c:pt idx="25">
                  <c:v>63.71</c:v>
                </c:pt>
                <c:pt idx="26">
                  <c:v>62.55</c:v>
                </c:pt>
                <c:pt idx="27">
                  <c:v>61.11</c:v>
                </c:pt>
                <c:pt idx="28">
                  <c:v>62.635</c:v>
                </c:pt>
                <c:pt idx="29">
                  <c:v>62.23</c:v>
                </c:pt>
                <c:pt idx="30">
                  <c:v>65.51</c:v>
                </c:pt>
                <c:pt idx="31">
                  <c:v>66.32</c:v>
                </c:pt>
                <c:pt idx="32">
                  <c:v>66.375</c:v>
                </c:pt>
                <c:pt idx="33">
                  <c:v>64.87</c:v>
                </c:pt>
                <c:pt idx="34">
                  <c:v>66.73</c:v>
                </c:pt>
                <c:pt idx="35">
                  <c:v>66.625</c:v>
                </c:pt>
                <c:pt idx="36">
                  <c:v>69.11</c:v>
                </c:pt>
                <c:pt idx="37">
                  <c:v>66.26</c:v>
                </c:pt>
                <c:pt idx="38">
                  <c:v>64.795</c:v>
                </c:pt>
                <c:pt idx="39">
                  <c:v>63.23</c:v>
                </c:pt>
                <c:pt idx="40">
                  <c:v>63.525</c:v>
                </c:pt>
                <c:pt idx="41">
                  <c:v>63.89</c:v>
                </c:pt>
                <c:pt idx="42">
                  <c:v>63.635</c:v>
                </c:pt>
                <c:pt idx="43">
                  <c:v>61.615</c:v>
                </c:pt>
                <c:pt idx="44">
                  <c:v>60.485</c:v>
                </c:pt>
                <c:pt idx="45">
                  <c:v>61.965</c:v>
                </c:pt>
                <c:pt idx="46">
                  <c:v>62.81</c:v>
                </c:pt>
                <c:pt idx="47">
                  <c:v>61.755</c:v>
                </c:pt>
                <c:pt idx="48">
                  <c:v>60.24</c:v>
                </c:pt>
                <c:pt idx="49">
                  <c:v>57.605</c:v>
                </c:pt>
                <c:pt idx="50">
                  <c:v>55.505</c:v>
                </c:pt>
                <c:pt idx="51">
                  <c:v>55.865</c:v>
                </c:pt>
                <c:pt idx="52">
                  <c:v>56.445</c:v>
                </c:pt>
                <c:pt idx="53">
                  <c:v>54.47</c:v>
                </c:pt>
                <c:pt idx="54">
                  <c:v>55.94</c:v>
                </c:pt>
                <c:pt idx="55">
                  <c:v>55.1</c:v>
                </c:pt>
                <c:pt idx="56">
                  <c:v>56.815</c:v>
                </c:pt>
                <c:pt idx="57">
                  <c:v>59.325</c:v>
                </c:pt>
                <c:pt idx="58">
                  <c:v>62.23</c:v>
                </c:pt>
                <c:pt idx="59">
                  <c:v>63.695</c:v>
                </c:pt>
                <c:pt idx="60">
                  <c:v>63.695</c:v>
                </c:pt>
                <c:pt idx="61">
                  <c:v>62.935</c:v>
                </c:pt>
                <c:pt idx="62">
                  <c:v>60.53</c:v>
                </c:pt>
                <c:pt idx="63">
                  <c:v>60.275</c:v>
                </c:pt>
                <c:pt idx="64">
                  <c:v>62.035</c:v>
                </c:pt>
                <c:pt idx="65">
                  <c:v>60.8</c:v>
                </c:pt>
                <c:pt idx="66">
                  <c:v>60.42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0B-45EF-A8FF-CEF4A8C9F705}"/>
            </c:ext>
          </c:extLst>
        </c:ser>
        <c:ser>
          <c:idx val="1"/>
          <c:order val="1"/>
          <c:tx>
            <c:strRef>
              <c:f>'4_Confianza_Consumidor'!$D$26</c:f>
              <c:strCache>
                <c:ptCount val="1"/>
                <c:pt idx="0">
                  <c:v>CHILE</c:v>
                </c:pt>
              </c:strCache>
            </c:strRef>
          </c:tx>
          <c:spPr>
            <a:ln w="28440">
              <a:solidFill>
                <a:schemeClr val="accent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'4_Confianza_Consumidor'!$B$27:$B$94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'4_Confianza_Consumidor'!$D$27:$D$94</c:f>
              <c:numCache>
                <c:formatCode>0.00;[Red]\(0.00\);\-</c:formatCode>
                <c:ptCount val="68"/>
                <c:pt idx="0">
                  <c:v>38.4701</c:v>
                </c:pt>
                <c:pt idx="1">
                  <c:v>42.3999</c:v>
                </c:pt>
                <c:pt idx="2">
                  <c:v>32.59</c:v>
                </c:pt>
                <c:pt idx="3">
                  <c:v>39.7022</c:v>
                </c:pt>
                <c:pt idx="4">
                  <c:v>40.162</c:v>
                </c:pt>
                <c:pt idx="5">
                  <c:v>41.3084</c:v>
                </c:pt>
                <c:pt idx="6">
                  <c:v>49.1057</c:v>
                </c:pt>
                <c:pt idx="7">
                  <c:v>47.0918</c:v>
                </c:pt>
                <c:pt idx="8">
                  <c:v>45.2189</c:v>
                </c:pt>
                <c:pt idx="9">
                  <c:v>40.2884</c:v>
                </c:pt>
                <c:pt idx="10">
                  <c:v>45.3545</c:v>
                </c:pt>
                <c:pt idx="11">
                  <c:v>46.6305</c:v>
                </c:pt>
                <c:pt idx="12">
                  <c:v>43.7078</c:v>
                </c:pt>
                <c:pt idx="13">
                  <c:v>39.9806</c:v>
                </c:pt>
                <c:pt idx="14">
                  <c:v>41.3156</c:v>
                </c:pt>
                <c:pt idx="15">
                  <c:v>39.5013</c:v>
                </c:pt>
                <c:pt idx="16">
                  <c:v>39.3364</c:v>
                </c:pt>
                <c:pt idx="17">
                  <c:v>35.5179</c:v>
                </c:pt>
                <c:pt idx="18">
                  <c:v>38.8602</c:v>
                </c:pt>
                <c:pt idx="19">
                  <c:v>36.9901</c:v>
                </c:pt>
                <c:pt idx="20">
                  <c:v>38.1999</c:v>
                </c:pt>
                <c:pt idx="21">
                  <c:v>36.6492</c:v>
                </c:pt>
                <c:pt idx="22">
                  <c:v>39.161</c:v>
                </c:pt>
                <c:pt idx="23">
                  <c:v>38.8922</c:v>
                </c:pt>
                <c:pt idx="24">
                  <c:v>36.8677</c:v>
                </c:pt>
                <c:pt idx="25">
                  <c:v>41.5</c:v>
                </c:pt>
                <c:pt idx="26">
                  <c:v>39.2928692535264</c:v>
                </c:pt>
                <c:pt idx="27">
                  <c:v>38.8684</c:v>
                </c:pt>
                <c:pt idx="28">
                  <c:v>39.9</c:v>
                </c:pt>
                <c:pt idx="29">
                  <c:v>41.0098</c:v>
                </c:pt>
                <c:pt idx="30">
                  <c:v>39.5213</c:v>
                </c:pt>
                <c:pt idx="31">
                  <c:v>41.4291</c:v>
                </c:pt>
                <c:pt idx="32">
                  <c:v>42.5278</c:v>
                </c:pt>
                <c:pt idx="33">
                  <c:v>43.0397</c:v>
                </c:pt>
                <c:pt idx="34">
                  <c:v>39.9054</c:v>
                </c:pt>
                <c:pt idx="35">
                  <c:v>43.8086</c:v>
                </c:pt>
                <c:pt idx="36">
                  <c:v>43.155</c:v>
                </c:pt>
                <c:pt idx="37">
                  <c:v>42.2184</c:v>
                </c:pt>
                <c:pt idx="38">
                  <c:v>42.7764</c:v>
                </c:pt>
                <c:pt idx="39">
                  <c:v>39.6</c:v>
                </c:pt>
                <c:pt idx="40">
                  <c:v>42.6902</c:v>
                </c:pt>
                <c:pt idx="41">
                  <c:v>40.7986</c:v>
                </c:pt>
                <c:pt idx="42">
                  <c:v>41.0264</c:v>
                </c:pt>
                <c:pt idx="43">
                  <c:v>40.9653</c:v>
                </c:pt>
                <c:pt idx="44">
                  <c:v>43.3809</c:v>
                </c:pt>
                <c:pt idx="45">
                  <c:v>41.8787269131346</c:v>
                </c:pt>
                <c:pt idx="46">
                  <c:v>41.8881</c:v>
                </c:pt>
                <c:pt idx="47">
                  <c:v>43.3</c:v>
                </c:pt>
                <c:pt idx="48">
                  <c:v>45.4</c:v>
                </c:pt>
                <c:pt idx="49">
                  <c:v>40.8</c:v>
                </c:pt>
                <c:pt idx="50">
                  <c:v>43.1</c:v>
                </c:pt>
                <c:pt idx="51">
                  <c:v>41.7</c:v>
                </c:pt>
                <c:pt idx="52">
                  <c:v>42.7</c:v>
                </c:pt>
                <c:pt idx="53">
                  <c:v>41.6</c:v>
                </c:pt>
                <c:pt idx="54">
                  <c:v>44.3</c:v>
                </c:pt>
                <c:pt idx="55">
                  <c:v>44.0</c:v>
                </c:pt>
                <c:pt idx="56">
                  <c:v>43.0</c:v>
                </c:pt>
                <c:pt idx="57">
                  <c:v>43.7</c:v>
                </c:pt>
                <c:pt idx="58">
                  <c:v>49.2</c:v>
                </c:pt>
                <c:pt idx="59">
                  <c:v>49.4</c:v>
                </c:pt>
                <c:pt idx="60">
                  <c:v>50.3</c:v>
                </c:pt>
                <c:pt idx="61">
                  <c:v>48.8</c:v>
                </c:pt>
                <c:pt idx="62">
                  <c:v>41.3</c:v>
                </c:pt>
                <c:pt idx="63">
                  <c:v>40.9</c:v>
                </c:pt>
                <c:pt idx="64">
                  <c:v>41.2</c:v>
                </c:pt>
                <c:pt idx="65">
                  <c:v>42.0</c:v>
                </c:pt>
                <c:pt idx="66">
                  <c:v>38.1</c:v>
                </c:pt>
                <c:pt idx="67">
                  <c:v>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0B-45EF-A8FF-CEF4A8C9F705}"/>
            </c:ext>
          </c:extLst>
        </c:ser>
        <c:ser>
          <c:idx val="2"/>
          <c:order val="2"/>
          <c:tx>
            <c:strRef>
              <c:f>'4_Confianza_Consumidor'!$E$26</c:f>
              <c:strCache>
                <c:ptCount val="1"/>
                <c:pt idx="0">
                  <c:v>COLOMBIA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'4_Confianza_Consumidor'!$B$27:$B$94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'4_Confianza_Consumidor'!$E$27:$E$94</c:f>
              <c:numCache>
                <c:formatCode>0.00;[Red]\(0.00\);\-</c:formatCode>
                <c:ptCount val="68"/>
                <c:pt idx="0">
                  <c:v>42.7</c:v>
                </c:pt>
                <c:pt idx="1">
                  <c:v>44.3</c:v>
                </c:pt>
                <c:pt idx="2">
                  <c:v>32.9</c:v>
                </c:pt>
                <c:pt idx="3">
                  <c:v>32.85</c:v>
                </c:pt>
                <c:pt idx="4">
                  <c:v>38.85</c:v>
                </c:pt>
                <c:pt idx="5">
                  <c:v>46.25</c:v>
                </c:pt>
                <c:pt idx="6">
                  <c:v>45.9</c:v>
                </c:pt>
                <c:pt idx="7">
                  <c:v>48.5</c:v>
                </c:pt>
                <c:pt idx="8">
                  <c:v>49.35</c:v>
                </c:pt>
                <c:pt idx="9">
                  <c:v>49.3</c:v>
                </c:pt>
                <c:pt idx="10">
                  <c:v>46.5</c:v>
                </c:pt>
                <c:pt idx="11">
                  <c:v>43.25</c:v>
                </c:pt>
                <c:pt idx="12">
                  <c:v>41.25</c:v>
                </c:pt>
                <c:pt idx="13">
                  <c:v>41.1</c:v>
                </c:pt>
                <c:pt idx="14">
                  <c:v>41.25</c:v>
                </c:pt>
                <c:pt idx="15">
                  <c:v>42.65</c:v>
                </c:pt>
                <c:pt idx="16">
                  <c:v>51.45</c:v>
                </c:pt>
                <c:pt idx="17">
                  <c:v>44.8</c:v>
                </c:pt>
                <c:pt idx="18">
                  <c:v>48.8</c:v>
                </c:pt>
                <c:pt idx="19">
                  <c:v>44.25</c:v>
                </c:pt>
                <c:pt idx="20">
                  <c:v>40.25</c:v>
                </c:pt>
                <c:pt idx="21">
                  <c:v>37.6</c:v>
                </c:pt>
                <c:pt idx="22">
                  <c:v>38.85</c:v>
                </c:pt>
                <c:pt idx="23">
                  <c:v>35.7</c:v>
                </c:pt>
                <c:pt idx="24">
                  <c:v>36.1</c:v>
                </c:pt>
                <c:pt idx="25">
                  <c:v>35.75</c:v>
                </c:pt>
                <c:pt idx="26">
                  <c:v>35.6</c:v>
                </c:pt>
                <c:pt idx="27">
                  <c:v>38.6</c:v>
                </c:pt>
                <c:pt idx="28">
                  <c:v>42.95</c:v>
                </c:pt>
                <c:pt idx="29">
                  <c:v>41.3</c:v>
                </c:pt>
                <c:pt idx="30">
                  <c:v>40.6</c:v>
                </c:pt>
                <c:pt idx="31">
                  <c:v>41.05</c:v>
                </c:pt>
                <c:pt idx="32">
                  <c:v>43.0</c:v>
                </c:pt>
                <c:pt idx="33">
                  <c:v>39.55</c:v>
                </c:pt>
                <c:pt idx="34">
                  <c:v>41.35</c:v>
                </c:pt>
                <c:pt idx="35">
                  <c:v>46.05</c:v>
                </c:pt>
                <c:pt idx="36">
                  <c:v>45.3</c:v>
                </c:pt>
                <c:pt idx="37">
                  <c:v>43.5</c:v>
                </c:pt>
                <c:pt idx="38">
                  <c:v>44.3</c:v>
                </c:pt>
                <c:pt idx="39">
                  <c:v>42.95</c:v>
                </c:pt>
                <c:pt idx="40">
                  <c:v>43.65</c:v>
                </c:pt>
                <c:pt idx="41">
                  <c:v>45.5</c:v>
                </c:pt>
                <c:pt idx="42">
                  <c:v>42.35</c:v>
                </c:pt>
                <c:pt idx="43">
                  <c:v>42.0</c:v>
                </c:pt>
                <c:pt idx="44">
                  <c:v>48.15</c:v>
                </c:pt>
                <c:pt idx="45">
                  <c:v>47.15</c:v>
                </c:pt>
                <c:pt idx="46">
                  <c:v>48.3</c:v>
                </c:pt>
                <c:pt idx="47">
                  <c:v>49.45</c:v>
                </c:pt>
                <c:pt idx="48">
                  <c:v>44.0</c:v>
                </c:pt>
                <c:pt idx="49">
                  <c:v>46.45</c:v>
                </c:pt>
                <c:pt idx="50">
                  <c:v>45.7</c:v>
                </c:pt>
                <c:pt idx="51">
                  <c:v>48.1</c:v>
                </c:pt>
                <c:pt idx="52">
                  <c:v>51.1</c:v>
                </c:pt>
                <c:pt idx="53">
                  <c:v>52.65</c:v>
                </c:pt>
                <c:pt idx="54">
                  <c:v>48.8</c:v>
                </c:pt>
                <c:pt idx="55">
                  <c:v>50.8</c:v>
                </c:pt>
                <c:pt idx="56">
                  <c:v>56.8</c:v>
                </c:pt>
                <c:pt idx="57">
                  <c:v>58.5</c:v>
                </c:pt>
                <c:pt idx="58">
                  <c:v>59.95</c:v>
                </c:pt>
                <c:pt idx="59">
                  <c:v>59.1</c:v>
                </c:pt>
                <c:pt idx="60">
                  <c:v>59.15</c:v>
                </c:pt>
                <c:pt idx="61">
                  <c:v>59.65</c:v>
                </c:pt>
                <c:pt idx="62">
                  <c:v>56.85</c:v>
                </c:pt>
                <c:pt idx="63">
                  <c:v>58.9</c:v>
                </c:pt>
                <c:pt idx="64">
                  <c:v>62.15</c:v>
                </c:pt>
                <c:pt idx="65">
                  <c:v>60.35</c:v>
                </c:pt>
                <c:pt idx="66">
                  <c:v>57.75</c:v>
                </c:pt>
                <c:pt idx="67">
                  <c:v>57.85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E0B-45EF-A8FF-CEF4A8C9F705}"/>
            </c:ext>
          </c:extLst>
        </c:ser>
        <c:ser>
          <c:idx val="3"/>
          <c:order val="3"/>
          <c:tx>
            <c:strRef>
              <c:f>'4_Confianza_Consumidor'!$F$26</c:f>
              <c:strCache>
                <c:ptCount val="1"/>
                <c:pt idx="0">
                  <c:v>MEXICO</c:v>
                </c:pt>
              </c:strCache>
            </c:strRef>
          </c:tx>
          <c:spPr>
            <a:ln w="28440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'4_Confianza_Consumidor'!$B$27:$B$94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'4_Confianza_Consumidor'!$F$27:$F$94</c:f>
              <c:numCache>
                <c:formatCode>0.00;[Red]\(0.00\);\-</c:formatCode>
                <c:ptCount val="68"/>
                <c:pt idx="0">
                  <c:v>38.9742567914</c:v>
                </c:pt>
                <c:pt idx="1">
                  <c:v>40.7340703821</c:v>
                </c:pt>
                <c:pt idx="2">
                  <c:v>42.2385548238</c:v>
                </c:pt>
                <c:pt idx="3">
                  <c:v>42.6375188681</c:v>
                </c:pt>
                <c:pt idx="4">
                  <c:v>43.9107256268</c:v>
                </c:pt>
                <c:pt idx="5">
                  <c:v>44.2407294683</c:v>
                </c:pt>
                <c:pt idx="6">
                  <c:v>42.9614108685</c:v>
                </c:pt>
                <c:pt idx="7">
                  <c:v>43.6871000529</c:v>
                </c:pt>
                <c:pt idx="8">
                  <c:v>43.8531835876</c:v>
                </c:pt>
                <c:pt idx="9">
                  <c:v>46.1998070963</c:v>
                </c:pt>
                <c:pt idx="10">
                  <c:v>44.3967494912</c:v>
                </c:pt>
                <c:pt idx="11">
                  <c:v>43.0946365348</c:v>
                </c:pt>
                <c:pt idx="12">
                  <c:v>43.2078244928</c:v>
                </c:pt>
                <c:pt idx="13">
                  <c:v>43.6470730917</c:v>
                </c:pt>
                <c:pt idx="14">
                  <c:v>44.0290843953</c:v>
                </c:pt>
                <c:pt idx="15">
                  <c:v>44.022414371</c:v>
                </c:pt>
                <c:pt idx="16">
                  <c:v>42.7589100869</c:v>
                </c:pt>
                <c:pt idx="17">
                  <c:v>41.2623097923</c:v>
                </c:pt>
                <c:pt idx="18">
                  <c:v>40.7810241241</c:v>
                </c:pt>
                <c:pt idx="19">
                  <c:v>41.1315908452</c:v>
                </c:pt>
                <c:pt idx="20">
                  <c:v>41.3577286177</c:v>
                </c:pt>
                <c:pt idx="21">
                  <c:v>41.9593398763</c:v>
                </c:pt>
                <c:pt idx="22">
                  <c:v>42.8428642964</c:v>
                </c:pt>
                <c:pt idx="23">
                  <c:v>44.77400590879362</c:v>
                </c:pt>
                <c:pt idx="24">
                  <c:v>44.648579360698086</c:v>
                </c:pt>
                <c:pt idx="25">
                  <c:v>44.49750460182052</c:v>
                </c:pt>
                <c:pt idx="26">
                  <c:v>44.604057252019366</c:v>
                </c:pt>
                <c:pt idx="27">
                  <c:v>44.67242033426259</c:v>
                </c:pt>
                <c:pt idx="28">
                  <c:v>45.90008196423259</c:v>
                </c:pt>
                <c:pt idx="29">
                  <c:v>46.38266557322619</c:v>
                </c:pt>
                <c:pt idx="30">
                  <c:v>46.08239731831724</c:v>
                </c:pt>
                <c:pt idx="31">
                  <c:v>46.378813796553494</c:v>
                </c:pt>
                <c:pt idx="32">
                  <c:v>45.66914977177604</c:v>
                </c:pt>
                <c:pt idx="33">
                  <c:v>46.89902093759146</c:v>
                </c:pt>
                <c:pt idx="34">
                  <c:v>47.18588914399389</c:v>
                </c:pt>
                <c:pt idx="35">
                  <c:v>47.57161444063833</c:v>
                </c:pt>
                <c:pt idx="36">
                  <c:v>47.12544653071357</c:v>
                </c:pt>
                <c:pt idx="37">
                  <c:v>47.37701218165986</c:v>
                </c:pt>
                <c:pt idx="38">
                  <c:v>47.73466566356988</c:v>
                </c:pt>
                <c:pt idx="39">
                  <c:v>46.695694705174034</c:v>
                </c:pt>
                <c:pt idx="40">
                  <c:v>48.0530072387496</c:v>
                </c:pt>
                <c:pt idx="41">
                  <c:v>46.966746692724165</c:v>
                </c:pt>
                <c:pt idx="42">
                  <c:v>46.993258614232275</c:v>
                </c:pt>
                <c:pt idx="43">
                  <c:v>46.56533712615807</c:v>
                </c:pt>
                <c:pt idx="44">
                  <c:v>48.897877633122164</c:v>
                </c:pt>
                <c:pt idx="45">
                  <c:v>47.442950378911924</c:v>
                </c:pt>
                <c:pt idx="46">
                  <c:v>47.270034347409236</c:v>
                </c:pt>
                <c:pt idx="47">
                  <c:v>46.7842</c:v>
                </c:pt>
                <c:pt idx="48">
                  <c:v>46.4138</c:v>
                </c:pt>
                <c:pt idx="49">
                  <c:v>46.1627</c:v>
                </c:pt>
                <c:pt idx="50">
                  <c:v>45.4925</c:v>
                </c:pt>
                <c:pt idx="51">
                  <c:v>47.0813</c:v>
                </c:pt>
                <c:pt idx="52">
                  <c:v>45.6721</c:v>
                </c:pt>
                <c:pt idx="53">
                  <c:v>45.7155</c:v>
                </c:pt>
                <c:pt idx="54">
                  <c:v>46.3177</c:v>
                </c:pt>
                <c:pt idx="55">
                  <c:v>46.0462</c:v>
                </c:pt>
                <c:pt idx="56">
                  <c:v>45.6079</c:v>
                </c:pt>
                <c:pt idx="57">
                  <c:v>44.1459</c:v>
                </c:pt>
                <c:pt idx="58">
                  <c:v>44.558</c:v>
                </c:pt>
                <c:pt idx="59">
                  <c:v>44.0734</c:v>
                </c:pt>
                <c:pt idx="60">
                  <c:v>44.4274</c:v>
                </c:pt>
                <c:pt idx="61">
                  <c:v>44.1889</c:v>
                </c:pt>
                <c:pt idx="62">
                  <c:v>44.4029</c:v>
                </c:pt>
                <c:pt idx="63">
                  <c:v>43.6544</c:v>
                </c:pt>
                <c:pt idx="64">
                  <c:v>43.929</c:v>
                </c:pt>
                <c:pt idx="65">
                  <c:v>44.9905</c:v>
                </c:pt>
                <c:pt idx="66">
                  <c:v>46.2925</c:v>
                </c:pt>
                <c:pt idx="67">
                  <c:v>45.0722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E0B-45EF-A8FF-CEF4A8C9F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770431"/>
        <c:axId val="22951062"/>
      </c:lineChart>
      <c:dateAx>
        <c:axId val="92770431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22951062"/>
        <c:crosses val="autoZero"/>
        <c:auto val="1"/>
        <c:lblOffset val="100"/>
        <c:baseTimeUnit val="months"/>
      </c:dateAx>
      <c:valAx>
        <c:axId val="22951062"/>
        <c:scaling>
          <c:orientation val="minMax"/>
          <c:min val="30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CO"/>
                  <a:t>Índice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\(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927704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4"/>
      </a:solidFill>
      <a:round/>
    </a:ln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/>
            </a:pPr>
            <a:r>
              <a:rPr lang="es-CO" sz="1800"/>
              <a:t>Inflación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'5_Inflacion'!$C$26</c:f>
              <c:strCache>
                <c:ptCount val="1"/>
                <c:pt idx="0">
                  <c:v>BRASIL</c:v>
                </c:pt>
              </c:strCache>
            </c:strRef>
          </c:tx>
          <c:spPr>
            <a:ln w="28440">
              <a:solidFill>
                <a:srgbClr val="51C5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'5_Inflacion'!$B$27:$B$94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'5_Inflacion'!$C$27:$C$94</c:f>
              <c:numCache>
                <c:formatCode>0.00%;[Red]\(0.00%\);\-</c:formatCode>
                <c:ptCount val="68"/>
                <c:pt idx="0">
                  <c:v>0.0519528054826288</c:v>
                </c:pt>
                <c:pt idx="1">
                  <c:v>0.0609932712837189</c:v>
                </c:pt>
                <c:pt idx="2">
                  <c:v>0.0675918852690329</c:v>
                </c:pt>
                <c:pt idx="3">
                  <c:v>0.0805590222011297</c:v>
                </c:pt>
                <c:pt idx="4">
                  <c:v>0.0834689657079553</c:v>
                </c:pt>
                <c:pt idx="5">
                  <c:v>0.0899464605208766</c:v>
                </c:pt>
                <c:pt idx="6">
                  <c:v>0.0967966826889544</c:v>
                </c:pt>
                <c:pt idx="7">
                  <c:v>0.102463756168667</c:v>
                </c:pt>
                <c:pt idx="8">
                  <c:v>0.106726703470926</c:v>
                </c:pt>
                <c:pt idx="9">
                  <c:v>0.10738488170671</c:v>
                </c:pt>
                <c:pt idx="10">
                  <c:v>0.100610548932579</c:v>
                </c:pt>
                <c:pt idx="11">
                  <c:v>0.103794359996823</c:v>
                </c:pt>
                <c:pt idx="12">
                  <c:v>0.105435934000388</c:v>
                </c:pt>
                <c:pt idx="13">
                  <c:v>0.11299315974556</c:v>
                </c:pt>
                <c:pt idx="14">
                  <c:v>0.121314811323759</c:v>
                </c:pt>
                <c:pt idx="15">
                  <c:v>0.117311307088149</c:v>
                </c:pt>
                <c:pt idx="16">
                  <c:v>0.118867296175907</c:v>
                </c:pt>
                <c:pt idx="17">
                  <c:v>0.100692351982875</c:v>
                </c:pt>
                <c:pt idx="18">
                  <c:v>0.0872706052500614</c:v>
                </c:pt>
                <c:pt idx="19">
                  <c:v>0.0716859633203206</c:v>
                </c:pt>
                <c:pt idx="20">
                  <c:v>0.0647001585223808</c:v>
                </c:pt>
                <c:pt idx="21">
                  <c:v>0.0590048827858569</c:v>
                </c:pt>
                <c:pt idx="22">
                  <c:v>0.0578484195960776</c:v>
                </c:pt>
                <c:pt idx="23">
                  <c:v>0.0577432029241463</c:v>
                </c:pt>
                <c:pt idx="24">
                  <c:v>0.0559630193334413</c:v>
                </c:pt>
                <c:pt idx="25">
                  <c:v>0.0465069442734789</c:v>
                </c:pt>
                <c:pt idx="26">
                  <c:v>0.0418470578206482</c:v>
                </c:pt>
                <c:pt idx="27">
                  <c:v>0.0393583219405154</c:v>
                </c:pt>
                <c:pt idx="28">
                  <c:v>0.0316150146845762</c:v>
                </c:pt>
                <c:pt idx="29">
                  <c:v>0.0399244388866271</c:v>
                </c:pt>
                <c:pt idx="30">
                  <c:v>0.0460821608752169</c:v>
                </c:pt>
                <c:pt idx="31">
                  <c:v>0.0518523462977563</c:v>
                </c:pt>
                <c:pt idx="32">
                  <c:v>0.0481924564358993</c:v>
                </c:pt>
                <c:pt idx="33">
                  <c:v>0.0468353702957067</c:v>
                </c:pt>
                <c:pt idx="34">
                  <c:v>0.0462111393056679</c:v>
                </c:pt>
                <c:pt idx="35">
                  <c:v>0.0450663743069244</c:v>
                </c:pt>
                <c:pt idx="36">
                  <c:v>0.0449627382126856</c:v>
                </c:pt>
                <c:pt idx="37">
                  <c:v>0.039255961268817</c:v>
                </c:pt>
                <c:pt idx="38">
                  <c:v>0.0368801649156532</c:v>
                </c:pt>
                <c:pt idx="39">
                  <c:v>0.0392595167856582</c:v>
                </c:pt>
                <c:pt idx="40">
                  <c:v>0.0422757823968258</c:v>
                </c:pt>
                <c:pt idx="41">
                  <c:v>0.04498245142822</c:v>
                </c:pt>
                <c:pt idx="42">
                  <c:v>0.0423759901605649</c:v>
                </c:pt>
                <c:pt idx="43">
                  <c:v>0.0442474012739589</c:v>
                </c:pt>
                <c:pt idx="44">
                  <c:v>0.0475809923394786</c:v>
                </c:pt>
                <c:pt idx="45">
                  <c:v>0.0487301138907088</c:v>
                </c:pt>
                <c:pt idx="46">
                  <c:v>0.0483129579185959</c:v>
                </c:pt>
                <c:pt idx="47">
                  <c:v>0.0455987439267733</c:v>
                </c:pt>
                <c:pt idx="48">
                  <c:v>0.0505763041477876</c:v>
                </c:pt>
                <c:pt idx="49">
                  <c:v>0.0547718964167485</c:v>
                </c:pt>
                <c:pt idx="50">
                  <c:v>0.0552972858849774</c:v>
                </c:pt>
                <c:pt idx="51">
                  <c:v>0.0531963555925528</c:v>
                </c:pt>
                <c:pt idx="52">
                  <c:v>0.0535116523759851</c:v>
                </c:pt>
                <c:pt idx="53">
                  <c:v>0.0522522242201262</c:v>
                </c:pt>
                <c:pt idx="54">
                  <c:v>0.0513050077750392</c:v>
                </c:pt>
                <c:pt idx="55">
                  <c:v>0.0517236875869764</c:v>
                </c:pt>
                <c:pt idx="56">
                  <c:v>0.0468081134703706</c:v>
                </c:pt>
                <c:pt idx="57">
                  <c:v>0.0446183564843283</c:v>
                </c:pt>
                <c:pt idx="58">
                  <c:v>0.0426438490456895</c:v>
                </c:pt>
                <c:pt idx="59">
                  <c:v>0.044413512105</c:v>
                </c:pt>
                <c:pt idx="60">
                  <c:v>0.038124969539</c:v>
                </c:pt>
                <c:pt idx="61">
                  <c:v>0.041428469807</c:v>
                </c:pt>
                <c:pt idx="62">
                  <c:v>0.043917196597</c:v>
                </c:pt>
                <c:pt idx="63">
                  <c:v>0.047249068792</c:v>
                </c:pt>
                <c:pt idx="64">
                  <c:v>0.046413275481</c:v>
                </c:pt>
                <c:pt idx="65">
                  <c:v>0.044430246091</c:v>
                </c:pt>
                <c:pt idx="66">
                  <c:v>0.04223452726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34-4594-88EF-5F1801201EBE}"/>
            </c:ext>
          </c:extLst>
        </c:ser>
        <c:ser>
          <c:idx val="1"/>
          <c:order val="1"/>
          <c:tx>
            <c:strRef>
              <c:f>'5_Inflacion'!$D$26</c:f>
              <c:strCache>
                <c:ptCount val="1"/>
                <c:pt idx="0">
                  <c:v>CHILE</c:v>
                </c:pt>
              </c:strCache>
            </c:strRef>
          </c:tx>
          <c:spPr>
            <a:ln w="28440">
              <a:solidFill>
                <a:schemeClr val="accent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'5_Inflacion'!$B$27:$B$94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'5_Inflacion'!$D$27:$D$94</c:f>
              <c:numCache>
                <c:formatCode>0.00%;[Red]\(0.00%\);\-</c:formatCode>
                <c:ptCount val="68"/>
                <c:pt idx="0">
                  <c:v>0.027999999999999997</c:v>
                </c:pt>
                <c:pt idx="1">
                  <c:v>0.028999999999999998</c:v>
                </c:pt>
                <c:pt idx="2">
                  <c:v>0.033</c:v>
                </c:pt>
                <c:pt idx="3">
                  <c:v>0.036000000000000004</c:v>
                </c:pt>
                <c:pt idx="4">
                  <c:v>0.038</c:v>
                </c:pt>
                <c:pt idx="5">
                  <c:v>0.045</c:v>
                </c:pt>
                <c:pt idx="6">
                  <c:v>0.048</c:v>
                </c:pt>
                <c:pt idx="7">
                  <c:v>0.053</c:v>
                </c:pt>
                <c:pt idx="8">
                  <c:v>0.06</c:v>
                </c:pt>
                <c:pt idx="9">
                  <c:v>0.067</c:v>
                </c:pt>
                <c:pt idx="10">
                  <c:v>0.07200000000000001</c:v>
                </c:pt>
                <c:pt idx="11">
                  <c:v>0.077</c:v>
                </c:pt>
                <c:pt idx="12">
                  <c:v>0.078</c:v>
                </c:pt>
                <c:pt idx="13">
                  <c:v>0.094</c:v>
                </c:pt>
                <c:pt idx="14">
                  <c:v>0.105</c:v>
                </c:pt>
                <c:pt idx="15">
                  <c:v>0.115</c:v>
                </c:pt>
                <c:pt idx="16">
                  <c:v>0.125</c:v>
                </c:pt>
                <c:pt idx="17">
                  <c:v>0.131</c:v>
                </c:pt>
                <c:pt idx="18">
                  <c:v>0.141</c:v>
                </c:pt>
                <c:pt idx="19">
                  <c:v>0.13699999999999998</c:v>
                </c:pt>
                <c:pt idx="20">
                  <c:v>0.128</c:v>
                </c:pt>
                <c:pt idx="21">
                  <c:v>0.133</c:v>
                </c:pt>
                <c:pt idx="22">
                  <c:v>0.128</c:v>
                </c:pt>
                <c:pt idx="23">
                  <c:v>0.12300000000000001</c:v>
                </c:pt>
                <c:pt idx="24">
                  <c:v>0.11900000000000001</c:v>
                </c:pt>
                <c:pt idx="25">
                  <c:v>0.111</c:v>
                </c:pt>
                <c:pt idx="26">
                  <c:v>0.099</c:v>
                </c:pt>
                <c:pt idx="27">
                  <c:v>0.087</c:v>
                </c:pt>
                <c:pt idx="28">
                  <c:v>0.076</c:v>
                </c:pt>
                <c:pt idx="29">
                  <c:v>0.065</c:v>
                </c:pt>
                <c:pt idx="30">
                  <c:v>0.053</c:v>
                </c:pt>
                <c:pt idx="31">
                  <c:v>0.051</c:v>
                </c:pt>
                <c:pt idx="32">
                  <c:v>0.05</c:v>
                </c:pt>
                <c:pt idx="33">
                  <c:v>0.048</c:v>
                </c:pt>
                <c:pt idx="34">
                  <c:v>0.039</c:v>
                </c:pt>
                <c:pt idx="35">
                  <c:v>0.038</c:v>
                </c:pt>
                <c:pt idx="36">
                  <c:v>0.045</c:v>
                </c:pt>
                <c:pt idx="37">
                  <c:v>0.037000000000000005</c:v>
                </c:pt>
                <c:pt idx="38">
                  <c:v>0.04</c:v>
                </c:pt>
                <c:pt idx="39">
                  <c:v>0.040999999999999995</c:v>
                </c:pt>
                <c:pt idx="40">
                  <c:v>0.042</c:v>
                </c:pt>
                <c:pt idx="41">
                  <c:v>0.046</c:v>
                </c:pt>
                <c:pt idx="42">
                  <c:v>0.047</c:v>
                </c:pt>
                <c:pt idx="43">
                  <c:v>0.040999999999999995</c:v>
                </c:pt>
                <c:pt idx="44">
                  <c:v>0.047</c:v>
                </c:pt>
                <c:pt idx="45">
                  <c:v>0.042</c:v>
                </c:pt>
                <c:pt idx="46">
                  <c:v>0.045</c:v>
                </c:pt>
                <c:pt idx="47">
                  <c:v>0.049</c:v>
                </c:pt>
                <c:pt idx="48">
                  <c:v>0.047</c:v>
                </c:pt>
                <c:pt idx="49">
                  <c:v>0.049</c:v>
                </c:pt>
                <c:pt idx="50">
                  <c:v>0.045</c:v>
                </c:pt>
                <c:pt idx="51">
                  <c:v>0.044000000000000004</c:v>
                </c:pt>
                <c:pt idx="52">
                  <c:v>0.040999999999999995</c:v>
                </c:pt>
                <c:pt idx="53">
                  <c:v>0.043</c:v>
                </c:pt>
                <c:pt idx="54">
                  <c:v>0.04</c:v>
                </c:pt>
                <c:pt idx="55">
                  <c:v>0.044000000000000004</c:v>
                </c:pt>
                <c:pt idx="56">
                  <c:v>0.034</c:v>
                </c:pt>
                <c:pt idx="57">
                  <c:v>0.034</c:v>
                </c:pt>
                <c:pt idx="58">
                  <c:v>0.035</c:v>
                </c:pt>
                <c:pt idx="59">
                  <c:v>0.027824621</c:v>
                </c:pt>
                <c:pt idx="60">
                  <c:v>0.023702874</c:v>
                </c:pt>
                <c:pt idx="61">
                  <c:v>0.028319406</c:v>
                </c:pt>
                <c:pt idx="62">
                  <c:v>0.039570012</c:v>
                </c:pt>
                <c:pt idx="63">
                  <c:v>0.039308176</c:v>
                </c:pt>
                <c:pt idx="64">
                  <c:v>0.043369242</c:v>
                </c:pt>
                <c:pt idx="65">
                  <c:v>0.035260541</c:v>
                </c:pt>
                <c:pt idx="66">
                  <c:v>0.041321553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34-4594-88EF-5F1801201EBE}"/>
            </c:ext>
          </c:extLst>
        </c:ser>
        <c:ser>
          <c:idx val="2"/>
          <c:order val="2"/>
          <c:tx>
            <c:strRef>
              <c:f>'5_Inflacion'!$E$26</c:f>
              <c:strCache>
                <c:ptCount val="1"/>
                <c:pt idx="0">
                  <c:v>COLOMBIA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'5_Inflacion'!$B$27:$B$94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'5_Inflacion'!$E$27:$E$94</c:f>
              <c:numCache>
                <c:formatCode>0.00%;[Red]\(0.00%\);\-</c:formatCode>
                <c:ptCount val="68"/>
                <c:pt idx="0">
                  <c:v>0.025099999999999997</c:v>
                </c:pt>
                <c:pt idx="1">
                  <c:v>0.0258</c:v>
                </c:pt>
                <c:pt idx="2">
                  <c:v>0.030600000000000002</c:v>
                </c:pt>
                <c:pt idx="3">
                  <c:v>0.0349</c:v>
                </c:pt>
                <c:pt idx="4">
                  <c:v>0.0371</c:v>
                </c:pt>
                <c:pt idx="5">
                  <c:v>0.0395</c:v>
                </c:pt>
                <c:pt idx="6">
                  <c:v>0.0409</c:v>
                </c:pt>
                <c:pt idx="7">
                  <c:v>0.047</c:v>
                </c:pt>
                <c:pt idx="8">
                  <c:v>0.0526</c:v>
                </c:pt>
                <c:pt idx="9">
                  <c:v>0.0557</c:v>
                </c:pt>
                <c:pt idx="10">
                  <c:v>0.0562</c:v>
                </c:pt>
                <c:pt idx="11">
                  <c:v>0.0693</c:v>
                </c:pt>
                <c:pt idx="12">
                  <c:v>0.07519999999999999</c:v>
                </c:pt>
                <c:pt idx="13">
                  <c:v>0.0754</c:v>
                </c:pt>
                <c:pt idx="14">
                  <c:v>0.08039999999999999</c:v>
                </c:pt>
                <c:pt idx="15">
                  <c:v>0.0824</c:v>
                </c:pt>
                <c:pt idx="16">
                  <c:v>0.09230000000000001</c:v>
                </c:pt>
                <c:pt idx="17">
                  <c:v>0.0971</c:v>
                </c:pt>
                <c:pt idx="18">
                  <c:v>0.1082</c:v>
                </c:pt>
                <c:pt idx="19">
                  <c:v>0.11289999999999999</c:v>
                </c:pt>
                <c:pt idx="20">
                  <c:v>0.125</c:v>
                </c:pt>
                <c:pt idx="21">
                  <c:v>0.1284</c:v>
                </c:pt>
                <c:pt idx="22">
                  <c:v>0.13119999999999998</c:v>
                </c:pt>
                <c:pt idx="23">
                  <c:v>0.1175</c:v>
                </c:pt>
                <c:pt idx="24">
                  <c:v>0.1242</c:v>
                </c:pt>
                <c:pt idx="25">
                  <c:v>0.1204</c:v>
                </c:pt>
                <c:pt idx="26">
                  <c:v>0.11109999999999999</c:v>
                </c:pt>
                <c:pt idx="27">
                  <c:v>0.10769999999999999</c:v>
                </c:pt>
                <c:pt idx="28">
                  <c:v>0.10439999999999999</c:v>
                </c:pt>
                <c:pt idx="29">
                  <c:v>0.09820000000000001</c:v>
                </c:pt>
                <c:pt idx="30">
                  <c:v>0.09519999999999999</c:v>
                </c:pt>
                <c:pt idx="31">
                  <c:v>0.0931</c:v>
                </c:pt>
                <c:pt idx="32">
                  <c:v>0.09179999999999999</c:v>
                </c:pt>
                <c:pt idx="33">
                  <c:v>0.09179999999999999</c:v>
                </c:pt>
                <c:pt idx="34">
                  <c:v>0.0928</c:v>
                </c:pt>
                <c:pt idx="35">
                  <c:v>0.06509999999999999</c:v>
                </c:pt>
                <c:pt idx="36">
                  <c:v>0.0707</c:v>
                </c:pt>
                <c:pt idx="37">
                  <c:v>0.0727</c:v>
                </c:pt>
                <c:pt idx="38">
                  <c:v>0.07</c:v>
                </c:pt>
                <c:pt idx="39">
                  <c:v>0.0634</c:v>
                </c:pt>
                <c:pt idx="40">
                  <c:v>0.0625</c:v>
                </c:pt>
                <c:pt idx="41">
                  <c:v>0.0629</c:v>
                </c:pt>
                <c:pt idx="42">
                  <c:v>0.051</c:v>
                </c:pt>
                <c:pt idx="43">
                  <c:v>0.0524</c:v>
                </c:pt>
                <c:pt idx="44">
                  <c:v>0.053899999999999997</c:v>
                </c:pt>
                <c:pt idx="45">
                  <c:v>0.0536</c:v>
                </c:pt>
                <c:pt idx="46">
                  <c:v>0.052000000000000005</c:v>
                </c:pt>
                <c:pt idx="47">
                  <c:v>0.053</c:v>
                </c:pt>
                <c:pt idx="48">
                  <c:v>0.053899999999999997</c:v>
                </c:pt>
                <c:pt idx="49">
                  <c:v>0.053899999999999997</c:v>
                </c:pt>
                <c:pt idx="50">
                  <c:v>0.0529</c:v>
                </c:pt>
                <c:pt idx="51">
                  <c:v>0.051699999999999996</c:v>
                </c:pt>
                <c:pt idx="52">
                  <c:v>0.052000000000000005</c:v>
                </c:pt>
                <c:pt idx="53">
                  <c:v>0.0519</c:v>
                </c:pt>
                <c:pt idx="54">
                  <c:v>0.051100000000000007</c:v>
                </c:pt>
                <c:pt idx="55">
                  <c:v>0.0507</c:v>
                </c:pt>
                <c:pt idx="56">
                  <c:v>0.0508</c:v>
                </c:pt>
                <c:pt idx="57">
                  <c:v>0.051</c:v>
                </c:pt>
                <c:pt idx="58">
                  <c:v>0.051</c:v>
                </c:pt>
                <c:pt idx="59">
                  <c:v>0.053536</c:v>
                </c:pt>
                <c:pt idx="60">
                  <c:v>0.0529</c:v>
                </c:pt>
                <c:pt idx="61">
                  <c:v>0.055589</c:v>
                </c:pt>
                <c:pt idx="62">
                  <c:v>0.056813</c:v>
                </c:pt>
                <c:pt idx="63">
                  <c:v>0.058421</c:v>
                </c:pt>
                <c:pt idx="64">
                  <c:v>0.061437</c:v>
                </c:pt>
                <c:pt idx="65">
                  <c:v>0.060263</c:v>
                </c:pt>
                <c:pt idx="66">
                  <c:v>0.062417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34-4594-88EF-5F1801201EBE}"/>
            </c:ext>
          </c:extLst>
        </c:ser>
        <c:ser>
          <c:idx val="3"/>
          <c:order val="3"/>
          <c:tx>
            <c:strRef>
              <c:f>'5_Inflacion'!$F$26</c:f>
              <c:strCache>
                <c:ptCount val="1"/>
                <c:pt idx="0">
                  <c:v>MEXICO</c:v>
                </c:pt>
              </c:strCache>
            </c:strRef>
          </c:tx>
          <c:spPr>
            <a:ln w="28440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'5_Inflacion'!$B$27:$B$94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'5_Inflacion'!$F$27:$F$94</c:f>
              <c:numCache>
                <c:formatCode>0.00%;[Red]\(0.00%\);\-</c:formatCode>
                <c:ptCount val="68"/>
                <c:pt idx="0">
                  <c:v>0.037599999999999995</c:v>
                </c:pt>
                <c:pt idx="1">
                  <c:v>0.0467</c:v>
                </c:pt>
                <c:pt idx="2">
                  <c:v>0.0608</c:v>
                </c:pt>
                <c:pt idx="3">
                  <c:v>0.058899999999999994</c:v>
                </c:pt>
                <c:pt idx="4">
                  <c:v>0.0588</c:v>
                </c:pt>
                <c:pt idx="5">
                  <c:v>0.0581</c:v>
                </c:pt>
                <c:pt idx="6">
                  <c:v>0.0559</c:v>
                </c:pt>
                <c:pt idx="7">
                  <c:v>0.06</c:v>
                </c:pt>
                <c:pt idx="8">
                  <c:v>0.062400000000000004</c:v>
                </c:pt>
                <c:pt idx="9">
                  <c:v>0.0737</c:v>
                </c:pt>
                <c:pt idx="10">
                  <c:v>0.0736</c:v>
                </c:pt>
                <c:pt idx="11">
                  <c:v>0.0707</c:v>
                </c:pt>
                <c:pt idx="12">
                  <c:v>0.0728</c:v>
                </c:pt>
                <c:pt idx="13">
                  <c:v>0.0745</c:v>
                </c:pt>
                <c:pt idx="14">
                  <c:v>0.0768</c:v>
                </c:pt>
                <c:pt idx="15">
                  <c:v>0.0765</c:v>
                </c:pt>
                <c:pt idx="16">
                  <c:v>0.0799</c:v>
                </c:pt>
                <c:pt idx="17">
                  <c:v>0.0815</c:v>
                </c:pt>
                <c:pt idx="18">
                  <c:v>0.087</c:v>
                </c:pt>
                <c:pt idx="19">
                  <c:v>0.087</c:v>
                </c:pt>
                <c:pt idx="20">
                  <c:v>0.08410000000000001</c:v>
                </c:pt>
                <c:pt idx="21">
                  <c:v>0.078</c:v>
                </c:pt>
                <c:pt idx="22">
                  <c:v>0.0782</c:v>
                </c:pt>
                <c:pt idx="23">
                  <c:v>0.0791</c:v>
                </c:pt>
                <c:pt idx="24">
                  <c:v>0.0762</c:v>
                </c:pt>
                <c:pt idx="25">
                  <c:v>0.06849999999999999</c:v>
                </c:pt>
                <c:pt idx="26">
                  <c:v>0.0625</c:v>
                </c:pt>
                <c:pt idx="27">
                  <c:v>0.0584</c:v>
                </c:pt>
                <c:pt idx="28">
                  <c:v>0.0506</c:v>
                </c:pt>
                <c:pt idx="29">
                  <c:v>0.0479</c:v>
                </c:pt>
                <c:pt idx="30">
                  <c:v>0.0464</c:v>
                </c:pt>
                <c:pt idx="31">
                  <c:v>0.044500000000000005</c:v>
                </c:pt>
                <c:pt idx="32">
                  <c:v>0.0426</c:v>
                </c:pt>
                <c:pt idx="33">
                  <c:v>0.0432</c:v>
                </c:pt>
                <c:pt idx="34">
                  <c:v>0.0466</c:v>
                </c:pt>
                <c:pt idx="35">
                  <c:v>0.048799999999999996</c:v>
                </c:pt>
                <c:pt idx="36">
                  <c:v>0.044000000000000004</c:v>
                </c:pt>
                <c:pt idx="37">
                  <c:v>0.044199999999999996</c:v>
                </c:pt>
                <c:pt idx="38">
                  <c:v>0.04650000000000001</c:v>
                </c:pt>
                <c:pt idx="39">
                  <c:v>0.046900000000000004</c:v>
                </c:pt>
                <c:pt idx="40">
                  <c:v>0.049800000000000004</c:v>
                </c:pt>
                <c:pt idx="41">
                  <c:v>0.0557</c:v>
                </c:pt>
                <c:pt idx="42">
                  <c:v>0.0499</c:v>
                </c:pt>
                <c:pt idx="43">
                  <c:v>0.0458</c:v>
                </c:pt>
                <c:pt idx="44">
                  <c:v>0.047599999999999996</c:v>
                </c:pt>
                <c:pt idx="45">
                  <c:v>0.0455</c:v>
                </c:pt>
                <c:pt idx="46">
                  <c:v>0.0421</c:v>
                </c:pt>
                <c:pt idx="47">
                  <c:v>0.0359</c:v>
                </c:pt>
                <c:pt idx="48">
                  <c:v>0.0377</c:v>
                </c:pt>
                <c:pt idx="49">
                  <c:v>0.038</c:v>
                </c:pt>
                <c:pt idx="50">
                  <c:v>0.0393</c:v>
                </c:pt>
                <c:pt idx="51">
                  <c:v>0.044199999999999996</c:v>
                </c:pt>
                <c:pt idx="52">
                  <c:v>0.0432</c:v>
                </c:pt>
                <c:pt idx="53">
                  <c:v>0.0351</c:v>
                </c:pt>
                <c:pt idx="54">
                  <c:v>0.035699999999999996</c:v>
                </c:pt>
                <c:pt idx="55">
                  <c:v>0.037599999999999995</c:v>
                </c:pt>
                <c:pt idx="56">
                  <c:v>0.035699999999999996</c:v>
                </c:pt>
                <c:pt idx="57">
                  <c:v>0.038</c:v>
                </c:pt>
                <c:pt idx="58">
                  <c:v>0.0369</c:v>
                </c:pt>
                <c:pt idx="59">
                  <c:v>0.03791301</c:v>
                </c:pt>
                <c:pt idx="60">
                  <c:v>0.04023038</c:v>
                </c:pt>
                <c:pt idx="61">
                  <c:v>0.04586774</c:v>
                </c:pt>
                <c:pt idx="62">
                  <c:v>0.04448503</c:v>
                </c:pt>
                <c:pt idx="63">
                  <c:v>0.03938948</c:v>
                </c:pt>
                <c:pt idx="64">
                  <c:v>0.03365977</c:v>
                </c:pt>
                <c:pt idx="65">
                  <c:v>0.0311763</c:v>
                </c:pt>
                <c:pt idx="66">
                  <c:v>0.03261942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C34-4594-88EF-5F1801201EBE}"/>
            </c:ext>
          </c:extLst>
        </c:ser>
        <c:ser>
          <c:idx val="4"/>
          <c:order val="4"/>
          <c:tx>
            <c:strRef>
              <c:f>'5_Inflacion'!$G$26</c:f>
              <c:strCache>
                <c:ptCount val="1"/>
                <c:pt idx="0">
                  <c:v>PERU</c:v>
                </c:pt>
              </c:strCache>
            </c:strRef>
          </c:tx>
          <c:spPr>
            <a:ln w="28440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'5_Inflacion'!$B$27:$B$94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'5_Inflacion'!$G$27:$G$94</c:f>
              <c:numCache>
                <c:formatCode>0.00%;[Red]\(0.00%\);\-</c:formatCode>
                <c:ptCount val="68"/>
                <c:pt idx="0">
                  <c:v>0.024046793760832</c:v>
                </c:pt>
                <c:pt idx="1">
                  <c:v>0.0259362892811019</c:v>
                </c:pt>
                <c:pt idx="2">
                  <c:v>0.0238684012471777</c:v>
                </c:pt>
                <c:pt idx="3">
                  <c:v>0.0245708154506437</c:v>
                </c:pt>
                <c:pt idx="4">
                  <c:v>0.0324870912220312</c:v>
                </c:pt>
                <c:pt idx="5">
                  <c:v>0.0381197130313737</c:v>
                </c:pt>
                <c:pt idx="6">
                  <c:v>0.0495283018867925</c:v>
                </c:pt>
                <c:pt idx="7">
                  <c:v>0.052349855475859</c:v>
                </c:pt>
                <c:pt idx="8">
                  <c:v>0.0582254093974097</c:v>
                </c:pt>
                <c:pt idx="9">
                  <c:v>0.0565434990948781</c:v>
                </c:pt>
                <c:pt idx="10">
                  <c:v>0.0642826734780759</c:v>
                </c:pt>
                <c:pt idx="11">
                  <c:v>0.0568349883794634</c:v>
                </c:pt>
                <c:pt idx="12">
                  <c:v>0.061455468584726</c:v>
                </c:pt>
                <c:pt idx="13">
                  <c:v>0.0682891010175182</c:v>
                </c:pt>
                <c:pt idx="14">
                  <c:v>0.0797017746508453</c:v>
                </c:pt>
                <c:pt idx="15">
                  <c:v>0.0808461619017697</c:v>
                </c:pt>
                <c:pt idx="16">
                  <c:v>0.0881433632006667</c:v>
                </c:pt>
                <c:pt idx="17">
                  <c:v>0.0873646209386281</c:v>
                </c:pt>
                <c:pt idx="18">
                  <c:v>0.0840653728294176</c:v>
                </c:pt>
                <c:pt idx="19">
                  <c:v>0.0852492370295017</c:v>
                </c:pt>
                <c:pt idx="20">
                  <c:v>0.0827349044199453</c:v>
                </c:pt>
                <c:pt idx="21">
                  <c:v>0.0844587784720823</c:v>
                </c:pt>
                <c:pt idx="22">
                  <c:v>0.0846</c:v>
                </c:pt>
                <c:pt idx="23">
                  <c:v>0.0865653738504597</c:v>
                </c:pt>
                <c:pt idx="24">
                  <c:v>0.0863976083707025</c:v>
                </c:pt>
                <c:pt idx="25">
                  <c:v>0.083955223880597</c:v>
                </c:pt>
                <c:pt idx="26">
                  <c:v>0.0796537638591714</c:v>
                </c:pt>
                <c:pt idx="27">
                  <c:v>0.0789652165487842</c:v>
                </c:pt>
                <c:pt idx="28">
                  <c:v>0.0646304098046726</c:v>
                </c:pt>
                <c:pt idx="29">
                  <c:v>0.0588123695693417</c:v>
                </c:pt>
                <c:pt idx="30">
                  <c:v>0.0556864223122586</c:v>
                </c:pt>
                <c:pt idx="31">
                  <c:v>0.0504311961004873</c:v>
                </c:pt>
                <c:pt idx="32">
                  <c:v>0.043437645959832</c:v>
                </c:pt>
                <c:pt idx="33">
                  <c:v>0.0364312267657994</c:v>
                </c:pt>
                <c:pt idx="34">
                  <c:v>0.0323621611654066</c:v>
                </c:pt>
                <c:pt idx="35">
                  <c:v>0.0302667893284268</c:v>
                </c:pt>
                <c:pt idx="36">
                  <c:v>0.0330214639515687</c:v>
                </c:pt>
                <c:pt idx="37">
                  <c:v>0.030437539632213</c:v>
                </c:pt>
                <c:pt idx="38">
                  <c:v>0.0241419691919647</c:v>
                </c:pt>
                <c:pt idx="39">
                  <c:v>0.0200251436781609</c:v>
                </c:pt>
                <c:pt idx="40">
                  <c:v>0.02284378091555</c:v>
                </c:pt>
                <c:pt idx="41">
                  <c:v>0.0213223436660097</c:v>
                </c:pt>
                <c:pt idx="42">
                  <c:v>0.0203498750446267</c:v>
                </c:pt>
                <c:pt idx="43">
                  <c:v>0.0177583437444226</c:v>
                </c:pt>
                <c:pt idx="44">
                  <c:v>0.0200537153088629</c:v>
                </c:pt>
                <c:pt idx="45">
                  <c:v>0.0226865136298422</c:v>
                </c:pt>
                <c:pt idx="46">
                  <c:v>0.0196481200321514</c:v>
                </c:pt>
                <c:pt idx="47">
                  <c:v>0.0185730868827574</c:v>
                </c:pt>
                <c:pt idx="48">
                  <c:v>0.0147398330669508</c:v>
                </c:pt>
                <c:pt idx="49">
                  <c:v>0.0128351648351648</c:v>
                </c:pt>
                <c:pt idx="50">
                  <c:v>0.0165361949159997</c:v>
                </c:pt>
                <c:pt idx="51">
                  <c:v>0.0169028963817237</c:v>
                </c:pt>
                <c:pt idx="52">
                  <c:v>0.016937090458</c:v>
                </c:pt>
                <c:pt idx="53">
                  <c:v>0.016888009685</c:v>
                </c:pt>
                <c:pt idx="54">
                  <c:v>0.011063307753</c:v>
                </c:pt>
                <c:pt idx="55">
                  <c:v>0.013583934214</c:v>
                </c:pt>
                <c:pt idx="56">
                  <c:v>0.013517747565</c:v>
                </c:pt>
                <c:pt idx="57">
                  <c:v>0.013686125699</c:v>
                </c:pt>
                <c:pt idx="58">
                  <c:v>0.015087997392</c:v>
                </c:pt>
                <c:pt idx="59">
                  <c:v>0.017009169483</c:v>
                </c:pt>
                <c:pt idx="60">
                  <c:v>0.022141662577</c:v>
                </c:pt>
                <c:pt idx="61">
                  <c:v>0.038045458129</c:v>
                </c:pt>
                <c:pt idx="62">
                  <c:v>0.040141436347</c:v>
                </c:pt>
                <c:pt idx="63">
                  <c:v>0.039050524062</c:v>
                </c:pt>
                <c:pt idx="64">
                  <c:v>0.040089096565</c:v>
                </c:pt>
                <c:pt idx="65">
                  <c:v>0.040651525621</c:v>
                </c:pt>
                <c:pt idx="66">
                  <c:v>0.044378092978</c:v>
                </c:pt>
                <c:pt idx="67">
                  <c:v>0.045486546948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C34-4594-88EF-5F1801201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253335"/>
        <c:axId val="24217405"/>
      </c:lineChart>
      <c:dateAx>
        <c:axId val="3425333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24217405"/>
        <c:crosses val="autoZero"/>
        <c:auto val="1"/>
        <c:lblOffset val="100"/>
        <c:baseTimeUnit val="months"/>
      </c:dateAx>
      <c:valAx>
        <c:axId val="2421740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CO"/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342533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4"/>
      </a:solidFill>
      <a:round/>
    </a:ln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ura Sans" pitchFamily="50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'5_Inflacion'!$H$26</c:f>
              <c:strCache>
                <c:ptCount val="1"/>
                <c:pt idx="0">
                  <c:v>Estados Unidos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'5_Inflacion'!$B$27:$B$94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'5_Inflacion'!$H$27:$H$94</c:f>
              <c:numCache>
                <c:formatCode>0.00%;[Red]\(0.00%\);\-</c:formatCode>
                <c:ptCount val="68"/>
                <c:pt idx="0">
                  <c:v>0.0166982</c:v>
                </c:pt>
                <c:pt idx="1">
                  <c:v>0.0266782</c:v>
                </c:pt>
                <c:pt idx="2">
                  <c:v>0.041330799999999994</c:v>
                </c:pt>
                <c:pt idx="3">
                  <c:v>0.0491826</c:v>
                </c:pt>
                <c:pt idx="4">
                  <c:v>0.0529563</c:v>
                </c:pt>
                <c:pt idx="5">
                  <c:v>0.0524517</c:v>
                </c:pt>
                <c:pt idx="6">
                  <c:v>0.0515202</c:v>
                </c:pt>
                <c:pt idx="7">
                  <c:v>0.053512199999999996</c:v>
                </c:pt>
                <c:pt idx="8">
                  <c:v>0.0623504</c:v>
                </c:pt>
                <c:pt idx="9">
                  <c:v>0.0690197</c:v>
                </c:pt>
                <c:pt idx="10">
                  <c:v>0.0717434</c:v>
                </c:pt>
                <c:pt idx="11">
                  <c:v>0.0755881</c:v>
                </c:pt>
                <c:pt idx="12">
                  <c:v>0.07937280000000001</c:v>
                </c:pt>
                <c:pt idx="13">
                  <c:v>0.085722</c:v>
                </c:pt>
                <c:pt idx="14">
                  <c:v>0.0823175</c:v>
                </c:pt>
                <c:pt idx="15">
                  <c:v>0.08538169999999999</c:v>
                </c:pt>
                <c:pt idx="16">
                  <c:v>0.0897936</c:v>
                </c:pt>
                <c:pt idx="17">
                  <c:v>0.08462580000000001</c:v>
                </c:pt>
                <c:pt idx="18">
                  <c:v>0.0822258</c:v>
                </c:pt>
                <c:pt idx="19">
                  <c:v>0.0819211</c:v>
                </c:pt>
                <c:pt idx="20">
                  <c:v>0.07758810000000001</c:v>
                </c:pt>
                <c:pt idx="21">
                  <c:v>0.0712286</c:v>
                </c:pt>
                <c:pt idx="22">
                  <c:v>0.064046</c:v>
                </c:pt>
                <c:pt idx="23">
                  <c:v>0.0632718</c:v>
                </c:pt>
                <c:pt idx="24">
                  <c:v>0.0595782</c:v>
                </c:pt>
                <c:pt idx="25">
                  <c:v>0.049177200000000004</c:v>
                </c:pt>
                <c:pt idx="26">
                  <c:v>0.0495008</c:v>
                </c:pt>
                <c:pt idx="27">
                  <c:v>0.0413185</c:v>
                </c:pt>
                <c:pt idx="28">
                  <c:v>0.0307062</c:v>
                </c:pt>
                <c:pt idx="29">
                  <c:v>0.0328775</c:v>
                </c:pt>
                <c:pt idx="30">
                  <c:v>0.037225</c:v>
                </c:pt>
                <c:pt idx="31">
                  <c:v>0.0368721</c:v>
                </c:pt>
                <c:pt idx="32">
                  <c:v>0.0325127</c:v>
                </c:pt>
                <c:pt idx="33">
                  <c:v>0.0313335</c:v>
                </c:pt>
                <c:pt idx="34">
                  <c:v>0.033159100000000004</c:v>
                </c:pt>
                <c:pt idx="35">
                  <c:v>0.030883400000000002</c:v>
                </c:pt>
                <c:pt idx="36">
                  <c:v>0.0315707</c:v>
                </c:pt>
                <c:pt idx="37">
                  <c:v>0.0348683</c:v>
                </c:pt>
                <c:pt idx="38">
                  <c:v>0.033608</c:v>
                </c:pt>
                <c:pt idx="39">
                  <c:v>0.0324428</c:v>
                </c:pt>
                <c:pt idx="40">
                  <c:v>0.029702600000000003</c:v>
                </c:pt>
                <c:pt idx="41">
                  <c:v>0.029414799999999998</c:v>
                </c:pt>
                <c:pt idx="42">
                  <c:v>0.026071399999999998</c:v>
                </c:pt>
                <c:pt idx="43">
                  <c:v>0.024264800000000003</c:v>
                </c:pt>
                <c:pt idx="44">
                  <c:v>0.0257884</c:v>
                </c:pt>
                <c:pt idx="45">
                  <c:v>0.0271947</c:v>
                </c:pt>
                <c:pt idx="46">
                  <c:v>0.0287069</c:v>
                </c:pt>
                <c:pt idx="47">
                  <c:v>0.0299098</c:v>
                </c:pt>
                <c:pt idx="48">
                  <c:v>0.0280158</c:v>
                </c:pt>
                <c:pt idx="49">
                  <c:v>0.0238198</c:v>
                </c:pt>
                <c:pt idx="50">
                  <c:v>0.0232539</c:v>
                </c:pt>
                <c:pt idx="51">
                  <c:v>0.0237727</c:v>
                </c:pt>
                <c:pt idx="52">
                  <c:v>0.0268045</c:v>
                </c:pt>
                <c:pt idx="53">
                  <c:v>0.0274262</c:v>
                </c:pt>
                <c:pt idx="54">
                  <c:v>0.0293859</c:v>
                </c:pt>
                <c:pt idx="55">
                  <c:v>0.0302257</c:v>
                </c:pt>
                <c:pt idx="56">
                  <c:v>0.0302257</c:v>
                </c:pt>
                <c:pt idx="57">
                  <c:v>0.0269644</c:v>
                </c:pt>
                <c:pt idx="58">
                  <c:v>0.026533</c:v>
                </c:pt>
                <c:pt idx="59">
                  <c:v>0.02386431</c:v>
                </c:pt>
                <c:pt idx="60">
                  <c:v>0.02414113</c:v>
                </c:pt>
                <c:pt idx="61">
                  <c:v>0.0325642</c:v>
                </c:pt>
                <c:pt idx="62">
                  <c:v>0.03810845</c:v>
                </c:pt>
                <c:pt idx="63">
                  <c:v>0.04248674</c:v>
                </c:pt>
                <c:pt idx="64">
                  <c:v>0.03531425</c:v>
                </c:pt>
                <c:pt idx="65">
                  <c:v>0.03364825</c:v>
                </c:pt>
                <c:pt idx="66">
                  <c:v>0.03396548</c:v>
                </c:pt>
                <c:pt idx="67">
                  <c:v>0.037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95-4E39-B660-1B000E72A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412607"/>
        <c:axId val="673732559"/>
      </c:lineChart>
      <c:dateAx>
        <c:axId val="59841260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endParaRPr lang="es-CO"/>
          </a:p>
        </c:txPr>
        <c:crossAx val="673732559"/>
        <c:crosses val="autoZero"/>
        <c:auto val="1"/>
        <c:lblOffset val="100"/>
        <c:baseTimeUnit val="months"/>
      </c:dateAx>
      <c:valAx>
        <c:axId val="6737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;[Red]\(0.00%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endParaRPr lang="es-CO"/>
          </a:p>
        </c:txPr>
        <c:crossAx val="59841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r>
              <a:rPr lang="es-CO" b="1">
                <a:solidFill>
                  <a:schemeClr val="accent5"/>
                </a:solidFill>
              </a:rPr>
              <a:t>Inflación</a:t>
            </a:r>
            <a:r>
              <a:rPr lang="es-CO" b="1" baseline="0">
                <a:solidFill>
                  <a:schemeClr val="accent5"/>
                </a:solidFill>
              </a:rPr>
              <a:t> LATAM &amp; USA</a:t>
            </a:r>
            <a:endParaRPr lang="es-CO" b="1">
              <a:solidFill>
                <a:schemeClr val="accent5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'5_Inflacion'!$C$26</c:f>
              <c:strCache>
                <c:ptCount val="1"/>
                <c:pt idx="0">
                  <c:v>BRASIL</c:v>
                </c:pt>
              </c:strCache>
            </c:strRef>
          </c:tx>
          <c:spPr>
            <a:ln w="28440">
              <a:solidFill>
                <a:srgbClr val="51C599"/>
              </a:solidFill>
              <a:round/>
            </a:ln>
          </c:spPr>
          <c:marker>
            <c:symbol val="none"/>
          </c:marker>
          <c:cat>
            <c:numRef>
              <c:f>'5_Inflacion'!$B$27:$B$94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'5_Inflacion'!$C$27:$C$94</c:f>
              <c:numCache>
                <c:formatCode>0.00%;[Red]\(0.00%\);\-</c:formatCode>
                <c:ptCount val="68"/>
                <c:pt idx="0">
                  <c:v>0.0519528054826288</c:v>
                </c:pt>
                <c:pt idx="1">
                  <c:v>0.0609932712837189</c:v>
                </c:pt>
                <c:pt idx="2">
                  <c:v>0.0675918852690329</c:v>
                </c:pt>
                <c:pt idx="3">
                  <c:v>0.0805590222011297</c:v>
                </c:pt>
                <c:pt idx="4">
                  <c:v>0.0834689657079553</c:v>
                </c:pt>
                <c:pt idx="5">
                  <c:v>0.0899464605208766</c:v>
                </c:pt>
                <c:pt idx="6">
                  <c:v>0.0967966826889544</c:v>
                </c:pt>
                <c:pt idx="7">
                  <c:v>0.102463756168667</c:v>
                </c:pt>
                <c:pt idx="8">
                  <c:v>0.106726703470926</c:v>
                </c:pt>
                <c:pt idx="9">
                  <c:v>0.10738488170671</c:v>
                </c:pt>
                <c:pt idx="10">
                  <c:v>0.100610548932579</c:v>
                </c:pt>
                <c:pt idx="11">
                  <c:v>0.103794359996823</c:v>
                </c:pt>
                <c:pt idx="12">
                  <c:v>0.105435934000388</c:v>
                </c:pt>
                <c:pt idx="13">
                  <c:v>0.11299315974556</c:v>
                </c:pt>
                <c:pt idx="14">
                  <c:v>0.121314811323759</c:v>
                </c:pt>
                <c:pt idx="15">
                  <c:v>0.117311307088149</c:v>
                </c:pt>
                <c:pt idx="16">
                  <c:v>0.118867296175907</c:v>
                </c:pt>
                <c:pt idx="17">
                  <c:v>0.100692351982875</c:v>
                </c:pt>
                <c:pt idx="18">
                  <c:v>0.0872706052500614</c:v>
                </c:pt>
                <c:pt idx="19">
                  <c:v>0.0716859633203206</c:v>
                </c:pt>
                <c:pt idx="20">
                  <c:v>0.0647001585223808</c:v>
                </c:pt>
                <c:pt idx="21">
                  <c:v>0.0590048827858569</c:v>
                </c:pt>
                <c:pt idx="22">
                  <c:v>0.0578484195960776</c:v>
                </c:pt>
                <c:pt idx="23">
                  <c:v>0.0577432029241463</c:v>
                </c:pt>
                <c:pt idx="24">
                  <c:v>0.0559630193334413</c:v>
                </c:pt>
                <c:pt idx="25">
                  <c:v>0.0465069442734789</c:v>
                </c:pt>
                <c:pt idx="26">
                  <c:v>0.0418470578206482</c:v>
                </c:pt>
                <c:pt idx="27">
                  <c:v>0.0393583219405154</c:v>
                </c:pt>
                <c:pt idx="28">
                  <c:v>0.0316150146845762</c:v>
                </c:pt>
                <c:pt idx="29">
                  <c:v>0.0399244388866271</c:v>
                </c:pt>
                <c:pt idx="30">
                  <c:v>0.0460821608752169</c:v>
                </c:pt>
                <c:pt idx="31">
                  <c:v>0.0518523462977563</c:v>
                </c:pt>
                <c:pt idx="32">
                  <c:v>0.0481924564358993</c:v>
                </c:pt>
                <c:pt idx="33">
                  <c:v>0.0468353702957067</c:v>
                </c:pt>
                <c:pt idx="34">
                  <c:v>0.0462111393056679</c:v>
                </c:pt>
                <c:pt idx="35">
                  <c:v>0.0450663743069244</c:v>
                </c:pt>
                <c:pt idx="36">
                  <c:v>0.0449627382126856</c:v>
                </c:pt>
                <c:pt idx="37">
                  <c:v>0.039255961268817</c:v>
                </c:pt>
                <c:pt idx="38">
                  <c:v>0.0368801649156532</c:v>
                </c:pt>
                <c:pt idx="39">
                  <c:v>0.0392595167856582</c:v>
                </c:pt>
                <c:pt idx="40">
                  <c:v>0.0422757823968258</c:v>
                </c:pt>
                <c:pt idx="41">
                  <c:v>0.04498245142822</c:v>
                </c:pt>
                <c:pt idx="42">
                  <c:v>0.0423759901605649</c:v>
                </c:pt>
                <c:pt idx="43">
                  <c:v>0.0442474012739589</c:v>
                </c:pt>
                <c:pt idx="44">
                  <c:v>0.0475809923394786</c:v>
                </c:pt>
                <c:pt idx="45">
                  <c:v>0.0487301138907088</c:v>
                </c:pt>
                <c:pt idx="46">
                  <c:v>0.0483129579185959</c:v>
                </c:pt>
                <c:pt idx="47">
                  <c:v>0.0455987439267733</c:v>
                </c:pt>
                <c:pt idx="48">
                  <c:v>0.0505763041477876</c:v>
                </c:pt>
                <c:pt idx="49">
                  <c:v>0.0547718964167485</c:v>
                </c:pt>
                <c:pt idx="50">
                  <c:v>0.0552972858849774</c:v>
                </c:pt>
                <c:pt idx="51">
                  <c:v>0.0531963555925528</c:v>
                </c:pt>
                <c:pt idx="52">
                  <c:v>0.0535116523759851</c:v>
                </c:pt>
                <c:pt idx="53">
                  <c:v>0.0522522242201262</c:v>
                </c:pt>
                <c:pt idx="54">
                  <c:v>0.0513050077750392</c:v>
                </c:pt>
                <c:pt idx="55">
                  <c:v>0.0517236875869764</c:v>
                </c:pt>
                <c:pt idx="56">
                  <c:v>0.0468081134703706</c:v>
                </c:pt>
                <c:pt idx="57">
                  <c:v>0.0446183564843283</c:v>
                </c:pt>
                <c:pt idx="58">
                  <c:v>0.0426438490456895</c:v>
                </c:pt>
                <c:pt idx="59">
                  <c:v>0.044413512105</c:v>
                </c:pt>
                <c:pt idx="60">
                  <c:v>0.038124969539</c:v>
                </c:pt>
                <c:pt idx="61">
                  <c:v>0.041428469807</c:v>
                </c:pt>
                <c:pt idx="62">
                  <c:v>0.043917196597</c:v>
                </c:pt>
                <c:pt idx="63">
                  <c:v>0.047249068792</c:v>
                </c:pt>
                <c:pt idx="64">
                  <c:v>0.046413275481</c:v>
                </c:pt>
                <c:pt idx="65">
                  <c:v>0.044430246091</c:v>
                </c:pt>
                <c:pt idx="66">
                  <c:v>0.04223452726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0B-44D1-9F27-EE0CC6FA3F87}"/>
            </c:ext>
          </c:extLst>
        </c:ser>
        <c:ser>
          <c:idx val="2"/>
          <c:order val="1"/>
          <c:tx>
            <c:strRef>
              <c:f>'5_Inflacion'!$D$26</c:f>
              <c:strCache>
                <c:ptCount val="1"/>
                <c:pt idx="0">
                  <c:v>CHILE</c:v>
                </c:pt>
              </c:strCache>
            </c:strRef>
          </c:tx>
          <c:spPr>
            <a:ln w="28440">
              <a:solidFill>
                <a:schemeClr val="accent4"/>
              </a:solidFill>
              <a:round/>
            </a:ln>
          </c:spPr>
          <c:marker>
            <c:symbol val="none"/>
          </c:marker>
          <c:cat>
            <c:numRef>
              <c:f>'5_Inflacion'!$B$27:$B$94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'5_Inflacion'!$D$27:$D$94</c:f>
              <c:numCache>
                <c:formatCode>0.00%;[Red]\(0.00%\);\-</c:formatCode>
                <c:ptCount val="68"/>
                <c:pt idx="0">
                  <c:v>0.027999999999999997</c:v>
                </c:pt>
                <c:pt idx="1">
                  <c:v>0.028999999999999998</c:v>
                </c:pt>
                <c:pt idx="2">
                  <c:v>0.033</c:v>
                </c:pt>
                <c:pt idx="3">
                  <c:v>0.036000000000000004</c:v>
                </c:pt>
                <c:pt idx="4">
                  <c:v>0.038</c:v>
                </c:pt>
                <c:pt idx="5">
                  <c:v>0.045</c:v>
                </c:pt>
                <c:pt idx="6">
                  <c:v>0.048</c:v>
                </c:pt>
                <c:pt idx="7">
                  <c:v>0.053</c:v>
                </c:pt>
                <c:pt idx="8">
                  <c:v>0.06</c:v>
                </c:pt>
                <c:pt idx="9">
                  <c:v>0.067</c:v>
                </c:pt>
                <c:pt idx="10">
                  <c:v>0.07200000000000001</c:v>
                </c:pt>
                <c:pt idx="11">
                  <c:v>0.077</c:v>
                </c:pt>
                <c:pt idx="12">
                  <c:v>0.078</c:v>
                </c:pt>
                <c:pt idx="13">
                  <c:v>0.094</c:v>
                </c:pt>
                <c:pt idx="14">
                  <c:v>0.105</c:v>
                </c:pt>
                <c:pt idx="15">
                  <c:v>0.115</c:v>
                </c:pt>
                <c:pt idx="16">
                  <c:v>0.125</c:v>
                </c:pt>
                <c:pt idx="17">
                  <c:v>0.131</c:v>
                </c:pt>
                <c:pt idx="18">
                  <c:v>0.141</c:v>
                </c:pt>
                <c:pt idx="19">
                  <c:v>0.13699999999999998</c:v>
                </c:pt>
                <c:pt idx="20">
                  <c:v>0.128</c:v>
                </c:pt>
                <c:pt idx="21">
                  <c:v>0.133</c:v>
                </c:pt>
                <c:pt idx="22">
                  <c:v>0.128</c:v>
                </c:pt>
                <c:pt idx="23">
                  <c:v>0.12300000000000001</c:v>
                </c:pt>
                <c:pt idx="24">
                  <c:v>0.11900000000000001</c:v>
                </c:pt>
                <c:pt idx="25">
                  <c:v>0.111</c:v>
                </c:pt>
                <c:pt idx="26">
                  <c:v>0.099</c:v>
                </c:pt>
                <c:pt idx="27">
                  <c:v>0.087</c:v>
                </c:pt>
                <c:pt idx="28">
                  <c:v>0.076</c:v>
                </c:pt>
                <c:pt idx="29">
                  <c:v>0.065</c:v>
                </c:pt>
                <c:pt idx="30">
                  <c:v>0.053</c:v>
                </c:pt>
                <c:pt idx="31">
                  <c:v>0.051</c:v>
                </c:pt>
                <c:pt idx="32">
                  <c:v>0.05</c:v>
                </c:pt>
                <c:pt idx="33">
                  <c:v>0.048</c:v>
                </c:pt>
                <c:pt idx="34">
                  <c:v>0.039</c:v>
                </c:pt>
                <c:pt idx="35">
                  <c:v>0.038</c:v>
                </c:pt>
                <c:pt idx="36">
                  <c:v>0.045</c:v>
                </c:pt>
                <c:pt idx="37">
                  <c:v>0.037000000000000005</c:v>
                </c:pt>
                <c:pt idx="38">
                  <c:v>0.04</c:v>
                </c:pt>
                <c:pt idx="39">
                  <c:v>0.040999999999999995</c:v>
                </c:pt>
                <c:pt idx="40">
                  <c:v>0.042</c:v>
                </c:pt>
                <c:pt idx="41">
                  <c:v>0.046</c:v>
                </c:pt>
                <c:pt idx="42">
                  <c:v>0.047</c:v>
                </c:pt>
                <c:pt idx="43">
                  <c:v>0.040999999999999995</c:v>
                </c:pt>
                <c:pt idx="44">
                  <c:v>0.047</c:v>
                </c:pt>
                <c:pt idx="45">
                  <c:v>0.042</c:v>
                </c:pt>
                <c:pt idx="46">
                  <c:v>0.045</c:v>
                </c:pt>
                <c:pt idx="47">
                  <c:v>0.049</c:v>
                </c:pt>
                <c:pt idx="48">
                  <c:v>0.047</c:v>
                </c:pt>
                <c:pt idx="49">
                  <c:v>0.049</c:v>
                </c:pt>
                <c:pt idx="50">
                  <c:v>0.045</c:v>
                </c:pt>
                <c:pt idx="51">
                  <c:v>0.044000000000000004</c:v>
                </c:pt>
                <c:pt idx="52">
                  <c:v>0.040999999999999995</c:v>
                </c:pt>
                <c:pt idx="53">
                  <c:v>0.043</c:v>
                </c:pt>
                <c:pt idx="54">
                  <c:v>0.04</c:v>
                </c:pt>
                <c:pt idx="55">
                  <c:v>0.044000000000000004</c:v>
                </c:pt>
                <c:pt idx="56">
                  <c:v>0.034</c:v>
                </c:pt>
                <c:pt idx="57">
                  <c:v>0.034</c:v>
                </c:pt>
                <c:pt idx="58">
                  <c:v>0.035</c:v>
                </c:pt>
                <c:pt idx="59">
                  <c:v>0.027824621</c:v>
                </c:pt>
                <c:pt idx="60">
                  <c:v>0.023702874</c:v>
                </c:pt>
                <c:pt idx="61">
                  <c:v>0.028319406</c:v>
                </c:pt>
                <c:pt idx="62">
                  <c:v>0.039570012</c:v>
                </c:pt>
                <c:pt idx="63">
                  <c:v>0.039308176</c:v>
                </c:pt>
                <c:pt idx="64">
                  <c:v>0.043369242</c:v>
                </c:pt>
                <c:pt idx="65">
                  <c:v>0.035260541</c:v>
                </c:pt>
                <c:pt idx="66">
                  <c:v>0.041321553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0B-44D1-9F27-EE0CC6FA3F87}"/>
            </c:ext>
          </c:extLst>
        </c:ser>
        <c:ser>
          <c:idx val="3"/>
          <c:order val="2"/>
          <c:tx>
            <c:strRef>
              <c:f>'5_Inflacion'!$E$26</c:f>
              <c:strCache>
                <c:ptCount val="1"/>
                <c:pt idx="0">
                  <c:v>COLOMBIA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cat>
            <c:numRef>
              <c:f>'5_Inflacion'!$B$27:$B$94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'5_Inflacion'!$E$27:$E$94</c:f>
              <c:numCache>
                <c:formatCode>0.00%;[Red]\(0.00%\);\-</c:formatCode>
                <c:ptCount val="68"/>
                <c:pt idx="0">
                  <c:v>0.025099999999999997</c:v>
                </c:pt>
                <c:pt idx="1">
                  <c:v>0.0258</c:v>
                </c:pt>
                <c:pt idx="2">
                  <c:v>0.030600000000000002</c:v>
                </c:pt>
                <c:pt idx="3">
                  <c:v>0.0349</c:v>
                </c:pt>
                <c:pt idx="4">
                  <c:v>0.0371</c:v>
                </c:pt>
                <c:pt idx="5">
                  <c:v>0.0395</c:v>
                </c:pt>
                <c:pt idx="6">
                  <c:v>0.0409</c:v>
                </c:pt>
                <c:pt idx="7">
                  <c:v>0.047</c:v>
                </c:pt>
                <c:pt idx="8">
                  <c:v>0.0526</c:v>
                </c:pt>
                <c:pt idx="9">
                  <c:v>0.0557</c:v>
                </c:pt>
                <c:pt idx="10">
                  <c:v>0.0562</c:v>
                </c:pt>
                <c:pt idx="11">
                  <c:v>0.0693</c:v>
                </c:pt>
                <c:pt idx="12">
                  <c:v>0.07519999999999999</c:v>
                </c:pt>
                <c:pt idx="13">
                  <c:v>0.0754</c:v>
                </c:pt>
                <c:pt idx="14">
                  <c:v>0.08039999999999999</c:v>
                </c:pt>
                <c:pt idx="15">
                  <c:v>0.0824</c:v>
                </c:pt>
                <c:pt idx="16">
                  <c:v>0.09230000000000001</c:v>
                </c:pt>
                <c:pt idx="17">
                  <c:v>0.0971</c:v>
                </c:pt>
                <c:pt idx="18">
                  <c:v>0.1082</c:v>
                </c:pt>
                <c:pt idx="19">
                  <c:v>0.11289999999999999</c:v>
                </c:pt>
                <c:pt idx="20">
                  <c:v>0.125</c:v>
                </c:pt>
                <c:pt idx="21">
                  <c:v>0.1284</c:v>
                </c:pt>
                <c:pt idx="22">
                  <c:v>0.13119999999999998</c:v>
                </c:pt>
                <c:pt idx="23">
                  <c:v>0.1175</c:v>
                </c:pt>
                <c:pt idx="24">
                  <c:v>0.1242</c:v>
                </c:pt>
                <c:pt idx="25">
                  <c:v>0.1204</c:v>
                </c:pt>
                <c:pt idx="26">
                  <c:v>0.11109999999999999</c:v>
                </c:pt>
                <c:pt idx="27">
                  <c:v>0.10769999999999999</c:v>
                </c:pt>
                <c:pt idx="28">
                  <c:v>0.10439999999999999</c:v>
                </c:pt>
                <c:pt idx="29">
                  <c:v>0.09820000000000001</c:v>
                </c:pt>
                <c:pt idx="30">
                  <c:v>0.09519999999999999</c:v>
                </c:pt>
                <c:pt idx="31">
                  <c:v>0.0931</c:v>
                </c:pt>
                <c:pt idx="32">
                  <c:v>0.09179999999999999</c:v>
                </c:pt>
                <c:pt idx="33">
                  <c:v>0.09179999999999999</c:v>
                </c:pt>
                <c:pt idx="34">
                  <c:v>0.0928</c:v>
                </c:pt>
                <c:pt idx="35">
                  <c:v>0.06509999999999999</c:v>
                </c:pt>
                <c:pt idx="36">
                  <c:v>0.0707</c:v>
                </c:pt>
                <c:pt idx="37">
                  <c:v>0.0727</c:v>
                </c:pt>
                <c:pt idx="38">
                  <c:v>0.07</c:v>
                </c:pt>
                <c:pt idx="39">
                  <c:v>0.0634</c:v>
                </c:pt>
                <c:pt idx="40">
                  <c:v>0.0625</c:v>
                </c:pt>
                <c:pt idx="41">
                  <c:v>0.0629</c:v>
                </c:pt>
                <c:pt idx="42">
                  <c:v>0.051</c:v>
                </c:pt>
                <c:pt idx="43">
                  <c:v>0.0524</c:v>
                </c:pt>
                <c:pt idx="44">
                  <c:v>0.053899999999999997</c:v>
                </c:pt>
                <c:pt idx="45">
                  <c:v>0.0536</c:v>
                </c:pt>
                <c:pt idx="46">
                  <c:v>0.052000000000000005</c:v>
                </c:pt>
                <c:pt idx="47">
                  <c:v>0.053</c:v>
                </c:pt>
                <c:pt idx="48">
                  <c:v>0.053899999999999997</c:v>
                </c:pt>
                <c:pt idx="49">
                  <c:v>0.053899999999999997</c:v>
                </c:pt>
                <c:pt idx="50">
                  <c:v>0.0529</c:v>
                </c:pt>
                <c:pt idx="51">
                  <c:v>0.051699999999999996</c:v>
                </c:pt>
                <c:pt idx="52">
                  <c:v>0.052000000000000005</c:v>
                </c:pt>
                <c:pt idx="53">
                  <c:v>0.0519</c:v>
                </c:pt>
                <c:pt idx="54">
                  <c:v>0.051100000000000007</c:v>
                </c:pt>
                <c:pt idx="55">
                  <c:v>0.0507</c:v>
                </c:pt>
                <c:pt idx="56">
                  <c:v>0.0508</c:v>
                </c:pt>
                <c:pt idx="57">
                  <c:v>0.051</c:v>
                </c:pt>
                <c:pt idx="58">
                  <c:v>0.051</c:v>
                </c:pt>
                <c:pt idx="59">
                  <c:v>0.053536</c:v>
                </c:pt>
                <c:pt idx="60">
                  <c:v>0.0529</c:v>
                </c:pt>
                <c:pt idx="61">
                  <c:v>0.055589</c:v>
                </c:pt>
                <c:pt idx="62">
                  <c:v>0.056813</c:v>
                </c:pt>
                <c:pt idx="63">
                  <c:v>0.058421</c:v>
                </c:pt>
                <c:pt idx="64">
                  <c:v>0.061437</c:v>
                </c:pt>
                <c:pt idx="65">
                  <c:v>0.060263</c:v>
                </c:pt>
                <c:pt idx="66">
                  <c:v>0.062417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0B-44D1-9F27-EE0CC6FA3F87}"/>
            </c:ext>
          </c:extLst>
        </c:ser>
        <c:ser>
          <c:idx val="4"/>
          <c:order val="3"/>
          <c:tx>
            <c:strRef>
              <c:f>'5_Inflacion'!$F$26</c:f>
              <c:strCache>
                <c:ptCount val="1"/>
                <c:pt idx="0">
                  <c:v>MEXICO</c:v>
                </c:pt>
              </c:strCache>
            </c:strRef>
          </c:tx>
          <c:spPr>
            <a:ln w="28440">
              <a:solidFill>
                <a:schemeClr val="accent2"/>
              </a:solidFill>
              <a:round/>
            </a:ln>
          </c:spPr>
          <c:marker>
            <c:symbol val="none"/>
          </c:marker>
          <c:cat>
            <c:numRef>
              <c:f>'5_Inflacion'!$B$27:$B$94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'5_Inflacion'!$F$27:$F$94</c:f>
              <c:numCache>
                <c:formatCode>0.00%;[Red]\(0.00%\);\-</c:formatCode>
                <c:ptCount val="68"/>
                <c:pt idx="0">
                  <c:v>0.037599999999999995</c:v>
                </c:pt>
                <c:pt idx="1">
                  <c:v>0.0467</c:v>
                </c:pt>
                <c:pt idx="2">
                  <c:v>0.0608</c:v>
                </c:pt>
                <c:pt idx="3">
                  <c:v>0.058899999999999994</c:v>
                </c:pt>
                <c:pt idx="4">
                  <c:v>0.0588</c:v>
                </c:pt>
                <c:pt idx="5">
                  <c:v>0.0581</c:v>
                </c:pt>
                <c:pt idx="6">
                  <c:v>0.0559</c:v>
                </c:pt>
                <c:pt idx="7">
                  <c:v>0.06</c:v>
                </c:pt>
                <c:pt idx="8">
                  <c:v>0.062400000000000004</c:v>
                </c:pt>
                <c:pt idx="9">
                  <c:v>0.0737</c:v>
                </c:pt>
                <c:pt idx="10">
                  <c:v>0.0736</c:v>
                </c:pt>
                <c:pt idx="11">
                  <c:v>0.0707</c:v>
                </c:pt>
                <c:pt idx="12">
                  <c:v>0.0728</c:v>
                </c:pt>
                <c:pt idx="13">
                  <c:v>0.0745</c:v>
                </c:pt>
                <c:pt idx="14">
                  <c:v>0.0768</c:v>
                </c:pt>
                <c:pt idx="15">
                  <c:v>0.0765</c:v>
                </c:pt>
                <c:pt idx="16">
                  <c:v>0.0799</c:v>
                </c:pt>
                <c:pt idx="17">
                  <c:v>0.0815</c:v>
                </c:pt>
                <c:pt idx="18">
                  <c:v>0.087</c:v>
                </c:pt>
                <c:pt idx="19">
                  <c:v>0.087</c:v>
                </c:pt>
                <c:pt idx="20">
                  <c:v>0.08410000000000001</c:v>
                </c:pt>
                <c:pt idx="21">
                  <c:v>0.078</c:v>
                </c:pt>
                <c:pt idx="22">
                  <c:v>0.0782</c:v>
                </c:pt>
                <c:pt idx="23">
                  <c:v>0.0791</c:v>
                </c:pt>
                <c:pt idx="24">
                  <c:v>0.0762</c:v>
                </c:pt>
                <c:pt idx="25">
                  <c:v>0.06849999999999999</c:v>
                </c:pt>
                <c:pt idx="26">
                  <c:v>0.0625</c:v>
                </c:pt>
                <c:pt idx="27">
                  <c:v>0.0584</c:v>
                </c:pt>
                <c:pt idx="28">
                  <c:v>0.0506</c:v>
                </c:pt>
                <c:pt idx="29">
                  <c:v>0.0479</c:v>
                </c:pt>
                <c:pt idx="30">
                  <c:v>0.0464</c:v>
                </c:pt>
                <c:pt idx="31">
                  <c:v>0.044500000000000005</c:v>
                </c:pt>
                <c:pt idx="32">
                  <c:v>0.0426</c:v>
                </c:pt>
                <c:pt idx="33">
                  <c:v>0.0432</c:v>
                </c:pt>
                <c:pt idx="34">
                  <c:v>0.0466</c:v>
                </c:pt>
                <c:pt idx="35">
                  <c:v>0.048799999999999996</c:v>
                </c:pt>
                <c:pt idx="36">
                  <c:v>0.044000000000000004</c:v>
                </c:pt>
                <c:pt idx="37">
                  <c:v>0.044199999999999996</c:v>
                </c:pt>
                <c:pt idx="38">
                  <c:v>0.04650000000000001</c:v>
                </c:pt>
                <c:pt idx="39">
                  <c:v>0.046900000000000004</c:v>
                </c:pt>
                <c:pt idx="40">
                  <c:v>0.049800000000000004</c:v>
                </c:pt>
                <c:pt idx="41">
                  <c:v>0.0557</c:v>
                </c:pt>
                <c:pt idx="42">
                  <c:v>0.0499</c:v>
                </c:pt>
                <c:pt idx="43">
                  <c:v>0.0458</c:v>
                </c:pt>
                <c:pt idx="44">
                  <c:v>0.047599999999999996</c:v>
                </c:pt>
                <c:pt idx="45">
                  <c:v>0.0455</c:v>
                </c:pt>
                <c:pt idx="46">
                  <c:v>0.0421</c:v>
                </c:pt>
                <c:pt idx="47">
                  <c:v>0.0359</c:v>
                </c:pt>
                <c:pt idx="48">
                  <c:v>0.0377</c:v>
                </c:pt>
                <c:pt idx="49">
                  <c:v>0.038</c:v>
                </c:pt>
                <c:pt idx="50">
                  <c:v>0.0393</c:v>
                </c:pt>
                <c:pt idx="51">
                  <c:v>0.044199999999999996</c:v>
                </c:pt>
                <c:pt idx="52">
                  <c:v>0.0432</c:v>
                </c:pt>
                <c:pt idx="53">
                  <c:v>0.0351</c:v>
                </c:pt>
                <c:pt idx="54">
                  <c:v>0.035699999999999996</c:v>
                </c:pt>
                <c:pt idx="55">
                  <c:v>0.037599999999999995</c:v>
                </c:pt>
                <c:pt idx="56">
                  <c:v>0.035699999999999996</c:v>
                </c:pt>
                <c:pt idx="57">
                  <c:v>0.038</c:v>
                </c:pt>
                <c:pt idx="58">
                  <c:v>0.0369</c:v>
                </c:pt>
                <c:pt idx="59">
                  <c:v>0.03791301</c:v>
                </c:pt>
                <c:pt idx="60">
                  <c:v>0.04023038</c:v>
                </c:pt>
                <c:pt idx="61">
                  <c:v>0.04586774</c:v>
                </c:pt>
                <c:pt idx="62">
                  <c:v>0.04448503</c:v>
                </c:pt>
                <c:pt idx="63">
                  <c:v>0.03938948</c:v>
                </c:pt>
                <c:pt idx="64">
                  <c:v>0.03365977</c:v>
                </c:pt>
                <c:pt idx="65">
                  <c:v>0.0311763</c:v>
                </c:pt>
                <c:pt idx="66">
                  <c:v>0.03261942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0B-44D1-9F27-EE0CC6FA3F87}"/>
            </c:ext>
          </c:extLst>
        </c:ser>
        <c:ser>
          <c:idx val="5"/>
          <c:order val="4"/>
          <c:tx>
            <c:strRef>
              <c:f>'5_Inflacion'!$G$26</c:f>
              <c:strCache>
                <c:ptCount val="1"/>
                <c:pt idx="0">
                  <c:v>PERU</c:v>
                </c:pt>
              </c:strCache>
            </c:strRef>
          </c:tx>
          <c:spPr>
            <a:ln w="28440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numRef>
              <c:f>'5_Inflacion'!$B$27:$B$94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'5_Inflacion'!$G$27:$G$94</c:f>
              <c:numCache>
                <c:formatCode>0.00%;[Red]\(0.00%\);\-</c:formatCode>
                <c:ptCount val="68"/>
                <c:pt idx="0">
                  <c:v>0.024046793760832</c:v>
                </c:pt>
                <c:pt idx="1">
                  <c:v>0.0259362892811019</c:v>
                </c:pt>
                <c:pt idx="2">
                  <c:v>0.0238684012471777</c:v>
                </c:pt>
                <c:pt idx="3">
                  <c:v>0.0245708154506437</c:v>
                </c:pt>
                <c:pt idx="4">
                  <c:v>0.0324870912220312</c:v>
                </c:pt>
                <c:pt idx="5">
                  <c:v>0.0381197130313737</c:v>
                </c:pt>
                <c:pt idx="6">
                  <c:v>0.0495283018867925</c:v>
                </c:pt>
                <c:pt idx="7">
                  <c:v>0.052349855475859</c:v>
                </c:pt>
                <c:pt idx="8">
                  <c:v>0.0582254093974097</c:v>
                </c:pt>
                <c:pt idx="9">
                  <c:v>0.0565434990948781</c:v>
                </c:pt>
                <c:pt idx="10">
                  <c:v>0.0642826734780759</c:v>
                </c:pt>
                <c:pt idx="11">
                  <c:v>0.0568349883794634</c:v>
                </c:pt>
                <c:pt idx="12">
                  <c:v>0.061455468584726</c:v>
                </c:pt>
                <c:pt idx="13">
                  <c:v>0.0682891010175182</c:v>
                </c:pt>
                <c:pt idx="14">
                  <c:v>0.0797017746508453</c:v>
                </c:pt>
                <c:pt idx="15">
                  <c:v>0.0808461619017697</c:v>
                </c:pt>
                <c:pt idx="16">
                  <c:v>0.0881433632006667</c:v>
                </c:pt>
                <c:pt idx="17">
                  <c:v>0.0873646209386281</c:v>
                </c:pt>
                <c:pt idx="18">
                  <c:v>0.0840653728294176</c:v>
                </c:pt>
                <c:pt idx="19">
                  <c:v>0.0852492370295017</c:v>
                </c:pt>
                <c:pt idx="20">
                  <c:v>0.0827349044199453</c:v>
                </c:pt>
                <c:pt idx="21">
                  <c:v>0.0844587784720823</c:v>
                </c:pt>
                <c:pt idx="22">
                  <c:v>0.0846</c:v>
                </c:pt>
                <c:pt idx="23">
                  <c:v>0.0865653738504597</c:v>
                </c:pt>
                <c:pt idx="24">
                  <c:v>0.0863976083707025</c:v>
                </c:pt>
                <c:pt idx="25">
                  <c:v>0.083955223880597</c:v>
                </c:pt>
                <c:pt idx="26">
                  <c:v>0.0796537638591714</c:v>
                </c:pt>
                <c:pt idx="27">
                  <c:v>0.0789652165487842</c:v>
                </c:pt>
                <c:pt idx="28">
                  <c:v>0.0646304098046726</c:v>
                </c:pt>
                <c:pt idx="29">
                  <c:v>0.0588123695693417</c:v>
                </c:pt>
                <c:pt idx="30">
                  <c:v>0.0556864223122586</c:v>
                </c:pt>
                <c:pt idx="31">
                  <c:v>0.0504311961004873</c:v>
                </c:pt>
                <c:pt idx="32">
                  <c:v>0.043437645959832</c:v>
                </c:pt>
                <c:pt idx="33">
                  <c:v>0.0364312267657994</c:v>
                </c:pt>
                <c:pt idx="34">
                  <c:v>0.0323621611654066</c:v>
                </c:pt>
                <c:pt idx="35">
                  <c:v>0.0302667893284268</c:v>
                </c:pt>
                <c:pt idx="36">
                  <c:v>0.0330214639515687</c:v>
                </c:pt>
                <c:pt idx="37">
                  <c:v>0.030437539632213</c:v>
                </c:pt>
                <c:pt idx="38">
                  <c:v>0.0241419691919647</c:v>
                </c:pt>
                <c:pt idx="39">
                  <c:v>0.0200251436781609</c:v>
                </c:pt>
                <c:pt idx="40">
                  <c:v>0.02284378091555</c:v>
                </c:pt>
                <c:pt idx="41">
                  <c:v>0.0213223436660097</c:v>
                </c:pt>
                <c:pt idx="42">
                  <c:v>0.0203498750446267</c:v>
                </c:pt>
                <c:pt idx="43">
                  <c:v>0.0177583437444226</c:v>
                </c:pt>
                <c:pt idx="44">
                  <c:v>0.0200537153088629</c:v>
                </c:pt>
                <c:pt idx="45">
                  <c:v>0.0226865136298422</c:v>
                </c:pt>
                <c:pt idx="46">
                  <c:v>0.0196481200321514</c:v>
                </c:pt>
                <c:pt idx="47">
                  <c:v>0.0185730868827574</c:v>
                </c:pt>
                <c:pt idx="48">
                  <c:v>0.0147398330669508</c:v>
                </c:pt>
                <c:pt idx="49">
                  <c:v>0.0128351648351648</c:v>
                </c:pt>
                <c:pt idx="50">
                  <c:v>0.0165361949159997</c:v>
                </c:pt>
                <c:pt idx="51">
                  <c:v>0.0169028963817237</c:v>
                </c:pt>
                <c:pt idx="52">
                  <c:v>0.016937090458</c:v>
                </c:pt>
                <c:pt idx="53">
                  <c:v>0.016888009685</c:v>
                </c:pt>
                <c:pt idx="54">
                  <c:v>0.011063307753</c:v>
                </c:pt>
                <c:pt idx="55">
                  <c:v>0.013583934214</c:v>
                </c:pt>
                <c:pt idx="56">
                  <c:v>0.013517747565</c:v>
                </c:pt>
                <c:pt idx="57">
                  <c:v>0.013686125699</c:v>
                </c:pt>
                <c:pt idx="58">
                  <c:v>0.015087997392</c:v>
                </c:pt>
                <c:pt idx="59">
                  <c:v>0.017009169483</c:v>
                </c:pt>
                <c:pt idx="60">
                  <c:v>0.022141662577</c:v>
                </c:pt>
                <c:pt idx="61">
                  <c:v>0.038045458129</c:v>
                </c:pt>
                <c:pt idx="62">
                  <c:v>0.040141436347</c:v>
                </c:pt>
                <c:pt idx="63">
                  <c:v>0.039050524062</c:v>
                </c:pt>
                <c:pt idx="64">
                  <c:v>0.040089096565</c:v>
                </c:pt>
                <c:pt idx="65">
                  <c:v>0.040651525621</c:v>
                </c:pt>
                <c:pt idx="66">
                  <c:v>0.044378092978</c:v>
                </c:pt>
                <c:pt idx="67">
                  <c:v>0.045486546948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80B-44D1-9F27-EE0CC6FA3F87}"/>
            </c:ext>
          </c:extLst>
        </c:ser>
        <c:ser>
          <c:idx val="0"/>
          <c:order val="5"/>
          <c:tx>
            <c:strRef>
              <c:f>'5_Inflacion'!$H$26</c:f>
              <c:strCache>
                <c:ptCount val="1"/>
                <c:pt idx="0">
                  <c:v>Estados Unidos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'5_Inflacion'!$B$27:$B$94</c:f>
              <c:numCache>
                <c:formatCode>mmm\-yy</c:formatCode>
                <c:ptCount val="68"/>
                <c:pt idx="0">
                  <c:v>44228.0</c:v>
                </c:pt>
                <c:pt idx="1">
                  <c:v>44256.0</c:v>
                </c:pt>
                <c:pt idx="2">
                  <c:v>44287.0</c:v>
                </c:pt>
                <c:pt idx="3">
                  <c:v>44317.0</c:v>
                </c:pt>
                <c:pt idx="4">
                  <c:v>44348.0</c:v>
                </c:pt>
                <c:pt idx="5">
                  <c:v>44378.0</c:v>
                </c:pt>
                <c:pt idx="6">
                  <c:v>44409.0</c:v>
                </c:pt>
                <c:pt idx="7">
                  <c:v>44440.0</c:v>
                </c:pt>
                <c:pt idx="8">
                  <c:v>44470.0</c:v>
                </c:pt>
                <c:pt idx="9">
                  <c:v>44501.0</c:v>
                </c:pt>
                <c:pt idx="10">
                  <c:v>44531.0</c:v>
                </c:pt>
                <c:pt idx="11">
                  <c:v>44562.0</c:v>
                </c:pt>
                <c:pt idx="12">
                  <c:v>44593.0</c:v>
                </c:pt>
                <c:pt idx="13">
                  <c:v>44621.0</c:v>
                </c:pt>
                <c:pt idx="14">
                  <c:v>44652.0</c:v>
                </c:pt>
                <c:pt idx="15">
                  <c:v>44682.0</c:v>
                </c:pt>
                <c:pt idx="16">
                  <c:v>44713.0</c:v>
                </c:pt>
                <c:pt idx="17">
                  <c:v>44743.0</c:v>
                </c:pt>
                <c:pt idx="18">
                  <c:v>44774.0</c:v>
                </c:pt>
                <c:pt idx="19">
                  <c:v>44805.0</c:v>
                </c:pt>
                <c:pt idx="20">
                  <c:v>44835.0</c:v>
                </c:pt>
                <c:pt idx="21">
                  <c:v>44866.0</c:v>
                </c:pt>
                <c:pt idx="22">
                  <c:v>44896.0</c:v>
                </c:pt>
                <c:pt idx="23">
                  <c:v>44927.0</c:v>
                </c:pt>
                <c:pt idx="24">
                  <c:v>44958.0</c:v>
                </c:pt>
                <c:pt idx="25">
                  <c:v>44986.0</c:v>
                </c:pt>
                <c:pt idx="26">
                  <c:v>45017.0</c:v>
                </c:pt>
                <c:pt idx="27">
                  <c:v>45047.0</c:v>
                </c:pt>
                <c:pt idx="28">
                  <c:v>45078.0</c:v>
                </c:pt>
                <c:pt idx="29">
                  <c:v>45108.0</c:v>
                </c:pt>
                <c:pt idx="30">
                  <c:v>45139.0</c:v>
                </c:pt>
                <c:pt idx="31">
                  <c:v>45170.0</c:v>
                </c:pt>
                <c:pt idx="32">
                  <c:v>45200.0</c:v>
                </c:pt>
                <c:pt idx="33">
                  <c:v>45231.0</c:v>
                </c:pt>
                <c:pt idx="34">
                  <c:v>45261.0</c:v>
                </c:pt>
                <c:pt idx="35">
                  <c:v>45292.0</c:v>
                </c:pt>
                <c:pt idx="36">
                  <c:v>45323.0</c:v>
                </c:pt>
                <c:pt idx="37">
                  <c:v>45352.0</c:v>
                </c:pt>
                <c:pt idx="38">
                  <c:v>45383.0</c:v>
                </c:pt>
                <c:pt idx="39">
                  <c:v>45413.0</c:v>
                </c:pt>
                <c:pt idx="40">
                  <c:v>45444.0</c:v>
                </c:pt>
                <c:pt idx="41">
                  <c:v>45474.0</c:v>
                </c:pt>
                <c:pt idx="42">
                  <c:v>45505.0</c:v>
                </c:pt>
                <c:pt idx="43">
                  <c:v>45536.0</c:v>
                </c:pt>
                <c:pt idx="44">
                  <c:v>45566.0</c:v>
                </c:pt>
                <c:pt idx="45">
                  <c:v>45597.0</c:v>
                </c:pt>
                <c:pt idx="46">
                  <c:v>45627.0</c:v>
                </c:pt>
                <c:pt idx="47">
                  <c:v>45658.0</c:v>
                </c:pt>
                <c:pt idx="48">
                  <c:v>45689.0</c:v>
                </c:pt>
                <c:pt idx="49">
                  <c:v>45717.0</c:v>
                </c:pt>
                <c:pt idx="50">
                  <c:v>45748.0</c:v>
                </c:pt>
                <c:pt idx="51">
                  <c:v>45778.0</c:v>
                </c:pt>
                <c:pt idx="52">
                  <c:v>45809.0</c:v>
                </c:pt>
                <c:pt idx="53">
                  <c:v>45839.0</c:v>
                </c:pt>
                <c:pt idx="54">
                  <c:v>45870.0</c:v>
                </c:pt>
                <c:pt idx="55">
                  <c:v>45901.0</c:v>
                </c:pt>
                <c:pt idx="56">
                  <c:v>45931.0</c:v>
                </c:pt>
                <c:pt idx="57">
                  <c:v>45962.0</c:v>
                </c:pt>
                <c:pt idx="58">
                  <c:v>45992.0</c:v>
                </c:pt>
                <c:pt idx="59">
                  <c:v>46023.0</c:v>
                </c:pt>
                <c:pt idx="60">
                  <c:v>46054.0</c:v>
                </c:pt>
                <c:pt idx="61">
                  <c:v>46082.0</c:v>
                </c:pt>
                <c:pt idx="62">
                  <c:v>46113.0</c:v>
                </c:pt>
                <c:pt idx="63">
                  <c:v>46143.0</c:v>
                </c:pt>
                <c:pt idx="64">
                  <c:v>46174.0</c:v>
                </c:pt>
                <c:pt idx="65">
                  <c:v>46204.0</c:v>
                </c:pt>
                <c:pt idx="66">
                  <c:v>46235.0</c:v>
                </c:pt>
                <c:pt idx="67">
                  <c:v>46266.0</c:v>
                </c:pt>
              </c:numCache>
            </c:numRef>
          </c:cat>
          <c:val>
            <c:numRef>
              <c:f>'5_Inflacion'!$H$27:$H$94</c:f>
              <c:numCache>
                <c:formatCode>0.00%;[Red]\(0.00%\);\-</c:formatCode>
                <c:ptCount val="68"/>
                <c:pt idx="0">
                  <c:v>0.0166982</c:v>
                </c:pt>
                <c:pt idx="1">
                  <c:v>0.0266782</c:v>
                </c:pt>
                <c:pt idx="2">
                  <c:v>0.041330799999999994</c:v>
                </c:pt>
                <c:pt idx="3">
                  <c:v>0.0491826</c:v>
                </c:pt>
                <c:pt idx="4">
                  <c:v>0.0529563</c:v>
                </c:pt>
                <c:pt idx="5">
                  <c:v>0.0524517</c:v>
                </c:pt>
                <c:pt idx="6">
                  <c:v>0.0515202</c:v>
                </c:pt>
                <c:pt idx="7">
                  <c:v>0.053512199999999996</c:v>
                </c:pt>
                <c:pt idx="8">
                  <c:v>0.0623504</c:v>
                </c:pt>
                <c:pt idx="9">
                  <c:v>0.0690197</c:v>
                </c:pt>
                <c:pt idx="10">
                  <c:v>0.0717434</c:v>
                </c:pt>
                <c:pt idx="11">
                  <c:v>0.0755881</c:v>
                </c:pt>
                <c:pt idx="12">
                  <c:v>0.07937280000000001</c:v>
                </c:pt>
                <c:pt idx="13">
                  <c:v>0.085722</c:v>
                </c:pt>
                <c:pt idx="14">
                  <c:v>0.0823175</c:v>
                </c:pt>
                <c:pt idx="15">
                  <c:v>0.08538169999999999</c:v>
                </c:pt>
                <c:pt idx="16">
                  <c:v>0.0897936</c:v>
                </c:pt>
                <c:pt idx="17">
                  <c:v>0.08462580000000001</c:v>
                </c:pt>
                <c:pt idx="18">
                  <c:v>0.0822258</c:v>
                </c:pt>
                <c:pt idx="19">
                  <c:v>0.0819211</c:v>
                </c:pt>
                <c:pt idx="20">
                  <c:v>0.07758810000000001</c:v>
                </c:pt>
                <c:pt idx="21">
                  <c:v>0.0712286</c:v>
                </c:pt>
                <c:pt idx="22">
                  <c:v>0.064046</c:v>
                </c:pt>
                <c:pt idx="23">
                  <c:v>0.0632718</c:v>
                </c:pt>
                <c:pt idx="24">
                  <c:v>0.0595782</c:v>
                </c:pt>
                <c:pt idx="25">
                  <c:v>0.049177200000000004</c:v>
                </c:pt>
                <c:pt idx="26">
                  <c:v>0.0495008</c:v>
                </c:pt>
                <c:pt idx="27">
                  <c:v>0.0413185</c:v>
                </c:pt>
                <c:pt idx="28">
                  <c:v>0.0307062</c:v>
                </c:pt>
                <c:pt idx="29">
                  <c:v>0.0328775</c:v>
                </c:pt>
                <c:pt idx="30">
                  <c:v>0.037225</c:v>
                </c:pt>
                <c:pt idx="31">
                  <c:v>0.0368721</c:v>
                </c:pt>
                <c:pt idx="32">
                  <c:v>0.0325127</c:v>
                </c:pt>
                <c:pt idx="33">
                  <c:v>0.0313335</c:v>
                </c:pt>
                <c:pt idx="34">
                  <c:v>0.033159100000000004</c:v>
                </c:pt>
                <c:pt idx="35">
                  <c:v>0.030883400000000002</c:v>
                </c:pt>
                <c:pt idx="36">
                  <c:v>0.0315707</c:v>
                </c:pt>
                <c:pt idx="37">
                  <c:v>0.0348683</c:v>
                </c:pt>
                <c:pt idx="38">
                  <c:v>0.033608</c:v>
                </c:pt>
                <c:pt idx="39">
                  <c:v>0.0324428</c:v>
                </c:pt>
                <c:pt idx="40">
                  <c:v>0.029702600000000003</c:v>
                </c:pt>
                <c:pt idx="41">
                  <c:v>0.029414799999999998</c:v>
                </c:pt>
                <c:pt idx="42">
                  <c:v>0.026071399999999998</c:v>
                </c:pt>
                <c:pt idx="43">
                  <c:v>0.024264800000000003</c:v>
                </c:pt>
                <c:pt idx="44">
                  <c:v>0.0257884</c:v>
                </c:pt>
                <c:pt idx="45">
                  <c:v>0.0271947</c:v>
                </c:pt>
                <c:pt idx="46">
                  <c:v>0.0287069</c:v>
                </c:pt>
                <c:pt idx="47">
                  <c:v>0.0299098</c:v>
                </c:pt>
                <c:pt idx="48">
                  <c:v>0.0280158</c:v>
                </c:pt>
                <c:pt idx="49">
                  <c:v>0.0238198</c:v>
                </c:pt>
                <c:pt idx="50">
                  <c:v>0.0232539</c:v>
                </c:pt>
                <c:pt idx="51">
                  <c:v>0.0237727</c:v>
                </c:pt>
                <c:pt idx="52">
                  <c:v>0.0268045</c:v>
                </c:pt>
                <c:pt idx="53">
                  <c:v>0.0274262</c:v>
                </c:pt>
                <c:pt idx="54">
                  <c:v>0.0293859</c:v>
                </c:pt>
                <c:pt idx="55">
                  <c:v>0.0302257</c:v>
                </c:pt>
                <c:pt idx="56">
                  <c:v>0.0302257</c:v>
                </c:pt>
                <c:pt idx="57">
                  <c:v>0.0269644</c:v>
                </c:pt>
                <c:pt idx="58">
                  <c:v>0.026533</c:v>
                </c:pt>
                <c:pt idx="59">
                  <c:v>0.02386431</c:v>
                </c:pt>
                <c:pt idx="60">
                  <c:v>0.02414113</c:v>
                </c:pt>
                <c:pt idx="61">
                  <c:v>0.0325642</c:v>
                </c:pt>
                <c:pt idx="62">
                  <c:v>0.03810845</c:v>
                </c:pt>
                <c:pt idx="63">
                  <c:v>0.04248674</c:v>
                </c:pt>
                <c:pt idx="64">
                  <c:v>0.03531425</c:v>
                </c:pt>
                <c:pt idx="65">
                  <c:v>0.03364825</c:v>
                </c:pt>
                <c:pt idx="66">
                  <c:v>0.03396548</c:v>
                </c:pt>
                <c:pt idx="67">
                  <c:v>0.037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0B-44D1-9F27-EE0CC6FA3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412607"/>
        <c:axId val="673732559"/>
      </c:lineChart>
      <c:catAx>
        <c:axId val="59841260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endParaRPr lang="es-CO"/>
          </a:p>
        </c:txPr>
        <c:crossAx val="673732559"/>
        <c:crosses val="autoZero"/>
        <c:auto val="1"/>
        <c:lblAlgn val="ctr"/>
        <c:lblOffset val="100"/>
        <c:noMultiLvlLbl val="0"/>
      </c:catAx>
      <c:valAx>
        <c:axId val="6737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;[Red]\(0.00%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endParaRPr lang="es-CO"/>
          </a:p>
        </c:txPr>
        <c:crossAx val="59841260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/>
            </a:pPr>
            <a:r>
              <a:rPr lang="es-CO" sz="1800"/>
              <a:t>ANTAD México — Same-Store Sales (Tiendas Iguales)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'6_ANTAD'!$C$6</c:f>
              <c:strCache>
                <c:ptCount val="1"/>
                <c:pt idx="0">
                  <c:v>OVERALL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'6_ANTAD'!$B$7:$B$69</c:f>
              <c:numCache>
                <c:formatCode>mmm\-yy</c:formatCode>
                <c:ptCount val="63"/>
                <c:pt idx="0">
                  <c:v>44197.0</c:v>
                </c:pt>
                <c:pt idx="1">
                  <c:v>44228.0</c:v>
                </c:pt>
                <c:pt idx="2">
                  <c:v>44256.0</c:v>
                </c:pt>
                <c:pt idx="3">
                  <c:v>44287.0</c:v>
                </c:pt>
                <c:pt idx="4">
                  <c:v>44317.0</c:v>
                </c:pt>
                <c:pt idx="5">
                  <c:v>44348.0</c:v>
                </c:pt>
                <c:pt idx="6">
                  <c:v>44378.0</c:v>
                </c:pt>
                <c:pt idx="7">
                  <c:v>44409.0</c:v>
                </c:pt>
                <c:pt idx="8">
                  <c:v>44440.0</c:v>
                </c:pt>
                <c:pt idx="9">
                  <c:v>44470.0</c:v>
                </c:pt>
                <c:pt idx="10">
                  <c:v>44501.0</c:v>
                </c:pt>
                <c:pt idx="11">
                  <c:v>44531.0</c:v>
                </c:pt>
                <c:pt idx="12">
                  <c:v>44562.0</c:v>
                </c:pt>
                <c:pt idx="13">
                  <c:v>44593.0</c:v>
                </c:pt>
                <c:pt idx="14">
                  <c:v>44621.0</c:v>
                </c:pt>
                <c:pt idx="15">
                  <c:v>44652.0</c:v>
                </c:pt>
                <c:pt idx="16">
                  <c:v>44682.0</c:v>
                </c:pt>
                <c:pt idx="17">
                  <c:v>44713.0</c:v>
                </c:pt>
                <c:pt idx="18">
                  <c:v>44743.0</c:v>
                </c:pt>
                <c:pt idx="19">
                  <c:v>44774.0</c:v>
                </c:pt>
                <c:pt idx="20">
                  <c:v>44805.0</c:v>
                </c:pt>
                <c:pt idx="21">
                  <c:v>44835.0</c:v>
                </c:pt>
                <c:pt idx="22">
                  <c:v>44866.0</c:v>
                </c:pt>
                <c:pt idx="23">
                  <c:v>44896.0</c:v>
                </c:pt>
                <c:pt idx="24">
                  <c:v>44927.0</c:v>
                </c:pt>
                <c:pt idx="25">
                  <c:v>44958.0</c:v>
                </c:pt>
                <c:pt idx="26">
                  <c:v>44986.0</c:v>
                </c:pt>
                <c:pt idx="27">
                  <c:v>45017.0</c:v>
                </c:pt>
                <c:pt idx="28">
                  <c:v>45047.0</c:v>
                </c:pt>
                <c:pt idx="29">
                  <c:v>45078.0</c:v>
                </c:pt>
                <c:pt idx="30">
                  <c:v>45108.0</c:v>
                </c:pt>
                <c:pt idx="31">
                  <c:v>45139.0</c:v>
                </c:pt>
                <c:pt idx="32">
                  <c:v>45170.0</c:v>
                </c:pt>
                <c:pt idx="33">
                  <c:v>45200.0</c:v>
                </c:pt>
                <c:pt idx="34">
                  <c:v>45231.0</c:v>
                </c:pt>
                <c:pt idx="35">
                  <c:v>45261.0</c:v>
                </c:pt>
                <c:pt idx="36">
                  <c:v>45292.0</c:v>
                </c:pt>
                <c:pt idx="37">
                  <c:v>45323.0</c:v>
                </c:pt>
                <c:pt idx="38">
                  <c:v>45352.0</c:v>
                </c:pt>
                <c:pt idx="39">
                  <c:v>45383.0</c:v>
                </c:pt>
                <c:pt idx="40">
                  <c:v>45413.0</c:v>
                </c:pt>
                <c:pt idx="41">
                  <c:v>45444.0</c:v>
                </c:pt>
                <c:pt idx="42">
                  <c:v>45474.0</c:v>
                </c:pt>
                <c:pt idx="43">
                  <c:v>45505.0</c:v>
                </c:pt>
                <c:pt idx="44">
                  <c:v>45536.0</c:v>
                </c:pt>
                <c:pt idx="45">
                  <c:v>45566.0</c:v>
                </c:pt>
                <c:pt idx="46">
                  <c:v>45597.0</c:v>
                </c:pt>
                <c:pt idx="47">
                  <c:v>45627.0</c:v>
                </c:pt>
                <c:pt idx="48">
                  <c:v>45658.0</c:v>
                </c:pt>
                <c:pt idx="49">
                  <c:v>45689.0</c:v>
                </c:pt>
                <c:pt idx="50">
                  <c:v>45717.0</c:v>
                </c:pt>
                <c:pt idx="51">
                  <c:v>45748.0</c:v>
                </c:pt>
                <c:pt idx="52">
                  <c:v>45778.0</c:v>
                </c:pt>
                <c:pt idx="53">
                  <c:v>45809.0</c:v>
                </c:pt>
                <c:pt idx="54">
                  <c:v>45839.0</c:v>
                </c:pt>
                <c:pt idx="55">
                  <c:v>45870.0</c:v>
                </c:pt>
                <c:pt idx="56">
                  <c:v>45901.0</c:v>
                </c:pt>
                <c:pt idx="57">
                  <c:v>45931.0</c:v>
                </c:pt>
                <c:pt idx="58">
                  <c:v>45962.0</c:v>
                </c:pt>
                <c:pt idx="59">
                  <c:v>45992.0</c:v>
                </c:pt>
                <c:pt idx="60">
                  <c:v>46023.0</c:v>
                </c:pt>
                <c:pt idx="61">
                  <c:v>46054.0</c:v>
                </c:pt>
                <c:pt idx="62">
                  <c:v>46082.0</c:v>
                </c:pt>
              </c:numCache>
            </c:numRef>
          </c:cat>
          <c:val>
            <c:numRef>
              <c:f>'6_ANTAD'!$C$7:$C$69</c:f>
              <c:numCache>
                <c:formatCode>0.00%;[Red]\(0.00%\);\-</c:formatCode>
                <c:ptCount val="63"/>
                <c:pt idx="0">
                  <c:v>-0.07</c:v>
                </c:pt>
                <c:pt idx="1">
                  <c:v>-0.08</c:v>
                </c:pt>
                <c:pt idx="2">
                  <c:v>0.06</c:v>
                </c:pt>
                <c:pt idx="3">
                  <c:v>0.47</c:v>
                </c:pt>
                <c:pt idx="4">
                  <c:v>0.27</c:v>
                </c:pt>
                <c:pt idx="5">
                  <c:v>0.21</c:v>
                </c:pt>
                <c:pt idx="6">
                  <c:v>0.15</c:v>
                </c:pt>
                <c:pt idx="7">
                  <c:v>0.05</c:v>
                </c:pt>
                <c:pt idx="8">
                  <c:v>0.11</c:v>
                </c:pt>
                <c:pt idx="9">
                  <c:v>0.11</c:v>
                </c:pt>
                <c:pt idx="10">
                  <c:v>0.09</c:v>
                </c:pt>
                <c:pt idx="11">
                  <c:v>0.12</c:v>
                </c:pt>
                <c:pt idx="12">
                  <c:v>0.21</c:v>
                </c:pt>
                <c:pt idx="13">
                  <c:v>0.11</c:v>
                </c:pt>
                <c:pt idx="14">
                  <c:v>0.09</c:v>
                </c:pt>
                <c:pt idx="15">
                  <c:v>0.14</c:v>
                </c:pt>
                <c:pt idx="16">
                  <c:v>0.11</c:v>
                </c:pt>
                <c:pt idx="17">
                  <c:v>0.08</c:v>
                </c:pt>
                <c:pt idx="18">
                  <c:v>0.12</c:v>
                </c:pt>
                <c:pt idx="19">
                  <c:v>0.12</c:v>
                </c:pt>
                <c:pt idx="20">
                  <c:v>0.08</c:v>
                </c:pt>
                <c:pt idx="21">
                  <c:v>0.1</c:v>
                </c:pt>
                <c:pt idx="22">
                  <c:v>0.06</c:v>
                </c:pt>
                <c:pt idx="23">
                  <c:v>0.1</c:v>
                </c:pt>
                <c:pt idx="24">
                  <c:v>0.11</c:v>
                </c:pt>
                <c:pt idx="25">
                  <c:v>0.07</c:v>
                </c:pt>
                <c:pt idx="26">
                  <c:v>0.04</c:v>
                </c:pt>
                <c:pt idx="27">
                  <c:v>0.01</c:v>
                </c:pt>
                <c:pt idx="28">
                  <c:v>0.06</c:v>
                </c:pt>
                <c:pt idx="29">
                  <c:v>0.05</c:v>
                </c:pt>
                <c:pt idx="30">
                  <c:v>0.09</c:v>
                </c:pt>
                <c:pt idx="31">
                  <c:v>0.03</c:v>
                </c:pt>
                <c:pt idx="32">
                  <c:v>0.05</c:v>
                </c:pt>
                <c:pt idx="33">
                  <c:v>0.04</c:v>
                </c:pt>
                <c:pt idx="34">
                  <c:v>0.05</c:v>
                </c:pt>
                <c:pt idx="35">
                  <c:v>0.03</c:v>
                </c:pt>
                <c:pt idx="36">
                  <c:v>0.05</c:v>
                </c:pt>
                <c:pt idx="37">
                  <c:v>0.09</c:v>
                </c:pt>
                <c:pt idx="38">
                  <c:v>0.01</c:v>
                </c:pt>
                <c:pt idx="39">
                  <c:v>0.005</c:v>
                </c:pt>
                <c:pt idx="40">
                  <c:v>0.04</c:v>
                </c:pt>
                <c:pt idx="41">
                  <c:v>0.08</c:v>
                </c:pt>
                <c:pt idx="42">
                  <c:v>0.05</c:v>
                </c:pt>
                <c:pt idx="43">
                  <c:v>0.04</c:v>
                </c:pt>
                <c:pt idx="44">
                  <c:v>0.02</c:v>
                </c:pt>
                <c:pt idx="45">
                  <c:v>0.02</c:v>
                </c:pt>
                <c:pt idx="46">
                  <c:v>0.04</c:v>
                </c:pt>
                <c:pt idx="47">
                  <c:v>0.01</c:v>
                </c:pt>
                <c:pt idx="48">
                  <c:v>0.01</c:v>
                </c:pt>
                <c:pt idx="49">
                  <c:v>-0.02</c:v>
                </c:pt>
                <c:pt idx="50">
                  <c:v>0.03</c:v>
                </c:pt>
                <c:pt idx="51">
                  <c:v>0.1</c:v>
                </c:pt>
                <c:pt idx="52">
                  <c:v>0.04</c:v>
                </c:pt>
                <c:pt idx="53">
                  <c:v>0.03</c:v>
                </c:pt>
                <c:pt idx="54">
                  <c:v>0.08</c:v>
                </c:pt>
                <c:pt idx="55">
                  <c:v>0.03</c:v>
                </c:pt>
                <c:pt idx="56">
                  <c:v>0.01</c:v>
                </c:pt>
                <c:pt idx="57">
                  <c:v>0.07</c:v>
                </c:pt>
                <c:pt idx="58">
                  <c:v>0.042</c:v>
                </c:pt>
                <c:pt idx="59">
                  <c:v>0.055</c:v>
                </c:pt>
                <c:pt idx="60">
                  <c:v>0.034</c:v>
                </c:pt>
                <c:pt idx="61">
                  <c:v>0.011</c:v>
                </c:pt>
                <c:pt idx="62">
                  <c:v>0.017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95-4CAA-AD08-AA494B31C0F1}"/>
            </c:ext>
          </c:extLst>
        </c:ser>
        <c:ser>
          <c:idx val="1"/>
          <c:order val="1"/>
          <c:tx>
            <c:strRef>
              <c:f>'6_ANTAD'!$D$6</c:f>
              <c:strCache>
                <c:ptCount val="1"/>
                <c:pt idx="0">
                  <c:v>AUTOSERVICIO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'6_ANTAD'!$B$7:$B$69</c:f>
              <c:numCache>
                <c:formatCode>mmm\-yy</c:formatCode>
                <c:ptCount val="63"/>
                <c:pt idx="0">
                  <c:v>44197.0</c:v>
                </c:pt>
                <c:pt idx="1">
                  <c:v>44228.0</c:v>
                </c:pt>
                <c:pt idx="2">
                  <c:v>44256.0</c:v>
                </c:pt>
                <c:pt idx="3">
                  <c:v>44287.0</c:v>
                </c:pt>
                <c:pt idx="4">
                  <c:v>44317.0</c:v>
                </c:pt>
                <c:pt idx="5">
                  <c:v>44348.0</c:v>
                </c:pt>
                <c:pt idx="6">
                  <c:v>44378.0</c:v>
                </c:pt>
                <c:pt idx="7">
                  <c:v>44409.0</c:v>
                </c:pt>
                <c:pt idx="8">
                  <c:v>44440.0</c:v>
                </c:pt>
                <c:pt idx="9">
                  <c:v>44470.0</c:v>
                </c:pt>
                <c:pt idx="10">
                  <c:v>44501.0</c:v>
                </c:pt>
                <c:pt idx="11">
                  <c:v>44531.0</c:v>
                </c:pt>
                <c:pt idx="12">
                  <c:v>44562.0</c:v>
                </c:pt>
                <c:pt idx="13">
                  <c:v>44593.0</c:v>
                </c:pt>
                <c:pt idx="14">
                  <c:v>44621.0</c:v>
                </c:pt>
                <c:pt idx="15">
                  <c:v>44652.0</c:v>
                </c:pt>
                <c:pt idx="16">
                  <c:v>44682.0</c:v>
                </c:pt>
                <c:pt idx="17">
                  <c:v>44713.0</c:v>
                </c:pt>
                <c:pt idx="18">
                  <c:v>44743.0</c:v>
                </c:pt>
                <c:pt idx="19">
                  <c:v>44774.0</c:v>
                </c:pt>
                <c:pt idx="20">
                  <c:v>44805.0</c:v>
                </c:pt>
                <c:pt idx="21">
                  <c:v>44835.0</c:v>
                </c:pt>
                <c:pt idx="22">
                  <c:v>44866.0</c:v>
                </c:pt>
                <c:pt idx="23">
                  <c:v>44896.0</c:v>
                </c:pt>
                <c:pt idx="24">
                  <c:v>44927.0</c:v>
                </c:pt>
                <c:pt idx="25">
                  <c:v>44958.0</c:v>
                </c:pt>
                <c:pt idx="26">
                  <c:v>44986.0</c:v>
                </c:pt>
                <c:pt idx="27">
                  <c:v>45017.0</c:v>
                </c:pt>
                <c:pt idx="28">
                  <c:v>45047.0</c:v>
                </c:pt>
                <c:pt idx="29">
                  <c:v>45078.0</c:v>
                </c:pt>
                <c:pt idx="30">
                  <c:v>45108.0</c:v>
                </c:pt>
                <c:pt idx="31">
                  <c:v>45139.0</c:v>
                </c:pt>
                <c:pt idx="32">
                  <c:v>45170.0</c:v>
                </c:pt>
                <c:pt idx="33">
                  <c:v>45200.0</c:v>
                </c:pt>
                <c:pt idx="34">
                  <c:v>45231.0</c:v>
                </c:pt>
                <c:pt idx="35">
                  <c:v>45261.0</c:v>
                </c:pt>
                <c:pt idx="36">
                  <c:v>45292.0</c:v>
                </c:pt>
                <c:pt idx="37">
                  <c:v>45323.0</c:v>
                </c:pt>
                <c:pt idx="38">
                  <c:v>45352.0</c:v>
                </c:pt>
                <c:pt idx="39">
                  <c:v>45383.0</c:v>
                </c:pt>
                <c:pt idx="40">
                  <c:v>45413.0</c:v>
                </c:pt>
                <c:pt idx="41">
                  <c:v>45444.0</c:v>
                </c:pt>
                <c:pt idx="42">
                  <c:v>45474.0</c:v>
                </c:pt>
                <c:pt idx="43">
                  <c:v>45505.0</c:v>
                </c:pt>
                <c:pt idx="44">
                  <c:v>45536.0</c:v>
                </c:pt>
                <c:pt idx="45">
                  <c:v>45566.0</c:v>
                </c:pt>
                <c:pt idx="46">
                  <c:v>45597.0</c:v>
                </c:pt>
                <c:pt idx="47">
                  <c:v>45627.0</c:v>
                </c:pt>
                <c:pt idx="48">
                  <c:v>45658.0</c:v>
                </c:pt>
                <c:pt idx="49">
                  <c:v>45689.0</c:v>
                </c:pt>
                <c:pt idx="50">
                  <c:v>45717.0</c:v>
                </c:pt>
                <c:pt idx="51">
                  <c:v>45748.0</c:v>
                </c:pt>
                <c:pt idx="52">
                  <c:v>45778.0</c:v>
                </c:pt>
                <c:pt idx="53">
                  <c:v>45809.0</c:v>
                </c:pt>
                <c:pt idx="54">
                  <c:v>45839.0</c:v>
                </c:pt>
                <c:pt idx="55">
                  <c:v>45870.0</c:v>
                </c:pt>
                <c:pt idx="56">
                  <c:v>45901.0</c:v>
                </c:pt>
                <c:pt idx="57">
                  <c:v>45931.0</c:v>
                </c:pt>
                <c:pt idx="58">
                  <c:v>45962.0</c:v>
                </c:pt>
                <c:pt idx="59">
                  <c:v>45992.0</c:v>
                </c:pt>
                <c:pt idx="60">
                  <c:v>46023.0</c:v>
                </c:pt>
                <c:pt idx="61">
                  <c:v>46054.0</c:v>
                </c:pt>
                <c:pt idx="62">
                  <c:v>46082.0</c:v>
                </c:pt>
              </c:numCache>
            </c:numRef>
          </c:cat>
          <c:val>
            <c:numRef>
              <c:f>'6_ANTAD'!$D$7:$D$69</c:f>
              <c:numCache>
                <c:formatCode>0.00%;[Red]\(0.00%\);\-</c:formatCode>
                <c:ptCount val="6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695-4CAA-AD08-AA494B31C0F1}"/>
            </c:ext>
          </c:extLst>
        </c:ser>
        <c:ser>
          <c:idx val="2"/>
          <c:order val="2"/>
          <c:tx>
            <c:strRef>
              <c:f>'6_ANTAD'!$E$6</c:f>
              <c:strCache>
                <c:ptCount val="1"/>
                <c:pt idx="0">
                  <c:v>DEPARTAMENTAL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'6_ANTAD'!$B$7:$B$69</c:f>
              <c:numCache>
                <c:formatCode>mmm\-yy</c:formatCode>
                <c:ptCount val="63"/>
                <c:pt idx="0">
                  <c:v>44197.0</c:v>
                </c:pt>
                <c:pt idx="1">
                  <c:v>44228.0</c:v>
                </c:pt>
                <c:pt idx="2">
                  <c:v>44256.0</c:v>
                </c:pt>
                <c:pt idx="3">
                  <c:v>44287.0</c:v>
                </c:pt>
                <c:pt idx="4">
                  <c:v>44317.0</c:v>
                </c:pt>
                <c:pt idx="5">
                  <c:v>44348.0</c:v>
                </c:pt>
                <c:pt idx="6">
                  <c:v>44378.0</c:v>
                </c:pt>
                <c:pt idx="7">
                  <c:v>44409.0</c:v>
                </c:pt>
                <c:pt idx="8">
                  <c:v>44440.0</c:v>
                </c:pt>
                <c:pt idx="9">
                  <c:v>44470.0</c:v>
                </c:pt>
                <c:pt idx="10">
                  <c:v>44501.0</c:v>
                </c:pt>
                <c:pt idx="11">
                  <c:v>44531.0</c:v>
                </c:pt>
                <c:pt idx="12">
                  <c:v>44562.0</c:v>
                </c:pt>
                <c:pt idx="13">
                  <c:v>44593.0</c:v>
                </c:pt>
                <c:pt idx="14">
                  <c:v>44621.0</c:v>
                </c:pt>
                <c:pt idx="15">
                  <c:v>44652.0</c:v>
                </c:pt>
                <c:pt idx="16">
                  <c:v>44682.0</c:v>
                </c:pt>
                <c:pt idx="17">
                  <c:v>44713.0</c:v>
                </c:pt>
                <c:pt idx="18">
                  <c:v>44743.0</c:v>
                </c:pt>
                <c:pt idx="19">
                  <c:v>44774.0</c:v>
                </c:pt>
                <c:pt idx="20">
                  <c:v>44805.0</c:v>
                </c:pt>
                <c:pt idx="21">
                  <c:v>44835.0</c:v>
                </c:pt>
                <c:pt idx="22">
                  <c:v>44866.0</c:v>
                </c:pt>
                <c:pt idx="23">
                  <c:v>44896.0</c:v>
                </c:pt>
                <c:pt idx="24">
                  <c:v>44927.0</c:v>
                </c:pt>
                <c:pt idx="25">
                  <c:v>44958.0</c:v>
                </c:pt>
                <c:pt idx="26">
                  <c:v>44986.0</c:v>
                </c:pt>
                <c:pt idx="27">
                  <c:v>45017.0</c:v>
                </c:pt>
                <c:pt idx="28">
                  <c:v>45047.0</c:v>
                </c:pt>
                <c:pt idx="29">
                  <c:v>45078.0</c:v>
                </c:pt>
                <c:pt idx="30">
                  <c:v>45108.0</c:v>
                </c:pt>
                <c:pt idx="31">
                  <c:v>45139.0</c:v>
                </c:pt>
                <c:pt idx="32">
                  <c:v>45170.0</c:v>
                </c:pt>
                <c:pt idx="33">
                  <c:v>45200.0</c:v>
                </c:pt>
                <c:pt idx="34">
                  <c:v>45231.0</c:v>
                </c:pt>
                <c:pt idx="35">
                  <c:v>45261.0</c:v>
                </c:pt>
                <c:pt idx="36">
                  <c:v>45292.0</c:v>
                </c:pt>
                <c:pt idx="37">
                  <c:v>45323.0</c:v>
                </c:pt>
                <c:pt idx="38">
                  <c:v>45352.0</c:v>
                </c:pt>
                <c:pt idx="39">
                  <c:v>45383.0</c:v>
                </c:pt>
                <c:pt idx="40">
                  <c:v>45413.0</c:v>
                </c:pt>
                <c:pt idx="41">
                  <c:v>45444.0</c:v>
                </c:pt>
                <c:pt idx="42">
                  <c:v>45474.0</c:v>
                </c:pt>
                <c:pt idx="43">
                  <c:v>45505.0</c:v>
                </c:pt>
                <c:pt idx="44">
                  <c:v>45536.0</c:v>
                </c:pt>
                <c:pt idx="45">
                  <c:v>45566.0</c:v>
                </c:pt>
                <c:pt idx="46">
                  <c:v>45597.0</c:v>
                </c:pt>
                <c:pt idx="47">
                  <c:v>45627.0</c:v>
                </c:pt>
                <c:pt idx="48">
                  <c:v>45658.0</c:v>
                </c:pt>
                <c:pt idx="49">
                  <c:v>45689.0</c:v>
                </c:pt>
                <c:pt idx="50">
                  <c:v>45717.0</c:v>
                </c:pt>
                <c:pt idx="51">
                  <c:v>45748.0</c:v>
                </c:pt>
                <c:pt idx="52">
                  <c:v>45778.0</c:v>
                </c:pt>
                <c:pt idx="53">
                  <c:v>45809.0</c:v>
                </c:pt>
                <c:pt idx="54">
                  <c:v>45839.0</c:v>
                </c:pt>
                <c:pt idx="55">
                  <c:v>45870.0</c:v>
                </c:pt>
                <c:pt idx="56">
                  <c:v>45901.0</c:v>
                </c:pt>
                <c:pt idx="57">
                  <c:v>45931.0</c:v>
                </c:pt>
                <c:pt idx="58">
                  <c:v>45962.0</c:v>
                </c:pt>
                <c:pt idx="59">
                  <c:v>45992.0</c:v>
                </c:pt>
                <c:pt idx="60">
                  <c:v>46023.0</c:v>
                </c:pt>
                <c:pt idx="61">
                  <c:v>46054.0</c:v>
                </c:pt>
                <c:pt idx="62">
                  <c:v>46082.0</c:v>
                </c:pt>
              </c:numCache>
            </c:numRef>
          </c:cat>
          <c:val>
            <c:numRef>
              <c:f>'6_ANTAD'!$E$7:$E$69</c:f>
              <c:numCache>
                <c:formatCode>0.00%;[Red]\(0.00%\);\-</c:formatCode>
                <c:ptCount val="6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695-4CAA-AD08-AA494B31C0F1}"/>
            </c:ext>
          </c:extLst>
        </c:ser>
        <c:ser>
          <c:idx val="3"/>
          <c:order val="3"/>
          <c:tx>
            <c:strRef>
              <c:f>'6_ANTAD'!$F$6</c:f>
              <c:strCache>
                <c:ptCount val="1"/>
                <c:pt idx="0">
                  <c:v>ESPECIALIZADAS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'6_ANTAD'!$B$7:$B$69</c:f>
              <c:numCache>
                <c:formatCode>mmm\-yy</c:formatCode>
                <c:ptCount val="63"/>
                <c:pt idx="0">
                  <c:v>44197.0</c:v>
                </c:pt>
                <c:pt idx="1">
                  <c:v>44228.0</c:v>
                </c:pt>
                <c:pt idx="2">
                  <c:v>44256.0</c:v>
                </c:pt>
                <c:pt idx="3">
                  <c:v>44287.0</c:v>
                </c:pt>
                <c:pt idx="4">
                  <c:v>44317.0</c:v>
                </c:pt>
                <c:pt idx="5">
                  <c:v>44348.0</c:v>
                </c:pt>
                <c:pt idx="6">
                  <c:v>44378.0</c:v>
                </c:pt>
                <c:pt idx="7">
                  <c:v>44409.0</c:v>
                </c:pt>
                <c:pt idx="8">
                  <c:v>44440.0</c:v>
                </c:pt>
                <c:pt idx="9">
                  <c:v>44470.0</c:v>
                </c:pt>
                <c:pt idx="10">
                  <c:v>44501.0</c:v>
                </c:pt>
                <c:pt idx="11">
                  <c:v>44531.0</c:v>
                </c:pt>
                <c:pt idx="12">
                  <c:v>44562.0</c:v>
                </c:pt>
                <c:pt idx="13">
                  <c:v>44593.0</c:v>
                </c:pt>
                <c:pt idx="14">
                  <c:v>44621.0</c:v>
                </c:pt>
                <c:pt idx="15">
                  <c:v>44652.0</c:v>
                </c:pt>
                <c:pt idx="16">
                  <c:v>44682.0</c:v>
                </c:pt>
                <c:pt idx="17">
                  <c:v>44713.0</c:v>
                </c:pt>
                <c:pt idx="18">
                  <c:v>44743.0</c:v>
                </c:pt>
                <c:pt idx="19">
                  <c:v>44774.0</c:v>
                </c:pt>
                <c:pt idx="20">
                  <c:v>44805.0</c:v>
                </c:pt>
                <c:pt idx="21">
                  <c:v>44835.0</c:v>
                </c:pt>
                <c:pt idx="22">
                  <c:v>44866.0</c:v>
                </c:pt>
                <c:pt idx="23">
                  <c:v>44896.0</c:v>
                </c:pt>
                <c:pt idx="24">
                  <c:v>44927.0</c:v>
                </c:pt>
                <c:pt idx="25">
                  <c:v>44958.0</c:v>
                </c:pt>
                <c:pt idx="26">
                  <c:v>44986.0</c:v>
                </c:pt>
                <c:pt idx="27">
                  <c:v>45017.0</c:v>
                </c:pt>
                <c:pt idx="28">
                  <c:v>45047.0</c:v>
                </c:pt>
                <c:pt idx="29">
                  <c:v>45078.0</c:v>
                </c:pt>
                <c:pt idx="30">
                  <c:v>45108.0</c:v>
                </c:pt>
                <c:pt idx="31">
                  <c:v>45139.0</c:v>
                </c:pt>
                <c:pt idx="32">
                  <c:v>45170.0</c:v>
                </c:pt>
                <c:pt idx="33">
                  <c:v>45200.0</c:v>
                </c:pt>
                <c:pt idx="34">
                  <c:v>45231.0</c:v>
                </c:pt>
                <c:pt idx="35">
                  <c:v>45261.0</c:v>
                </c:pt>
                <c:pt idx="36">
                  <c:v>45292.0</c:v>
                </c:pt>
                <c:pt idx="37">
                  <c:v>45323.0</c:v>
                </c:pt>
                <c:pt idx="38">
                  <c:v>45352.0</c:v>
                </c:pt>
                <c:pt idx="39">
                  <c:v>45383.0</c:v>
                </c:pt>
                <c:pt idx="40">
                  <c:v>45413.0</c:v>
                </c:pt>
                <c:pt idx="41">
                  <c:v>45444.0</c:v>
                </c:pt>
                <c:pt idx="42">
                  <c:v>45474.0</c:v>
                </c:pt>
                <c:pt idx="43">
                  <c:v>45505.0</c:v>
                </c:pt>
                <c:pt idx="44">
                  <c:v>45536.0</c:v>
                </c:pt>
                <c:pt idx="45">
                  <c:v>45566.0</c:v>
                </c:pt>
                <c:pt idx="46">
                  <c:v>45597.0</c:v>
                </c:pt>
                <c:pt idx="47">
                  <c:v>45627.0</c:v>
                </c:pt>
                <c:pt idx="48">
                  <c:v>45658.0</c:v>
                </c:pt>
                <c:pt idx="49">
                  <c:v>45689.0</c:v>
                </c:pt>
                <c:pt idx="50">
                  <c:v>45717.0</c:v>
                </c:pt>
                <c:pt idx="51">
                  <c:v>45748.0</c:v>
                </c:pt>
                <c:pt idx="52">
                  <c:v>45778.0</c:v>
                </c:pt>
                <c:pt idx="53">
                  <c:v>45809.0</c:v>
                </c:pt>
                <c:pt idx="54">
                  <c:v>45839.0</c:v>
                </c:pt>
                <c:pt idx="55">
                  <c:v>45870.0</c:v>
                </c:pt>
                <c:pt idx="56">
                  <c:v>45901.0</c:v>
                </c:pt>
                <c:pt idx="57">
                  <c:v>45931.0</c:v>
                </c:pt>
                <c:pt idx="58">
                  <c:v>45962.0</c:v>
                </c:pt>
                <c:pt idx="59">
                  <c:v>45992.0</c:v>
                </c:pt>
                <c:pt idx="60">
                  <c:v>46023.0</c:v>
                </c:pt>
                <c:pt idx="61">
                  <c:v>46054.0</c:v>
                </c:pt>
                <c:pt idx="62">
                  <c:v>46082.0</c:v>
                </c:pt>
              </c:numCache>
            </c:numRef>
          </c:cat>
          <c:val>
            <c:numRef>
              <c:f>'6_ANTAD'!$F$7:$F$69</c:f>
              <c:numCache>
                <c:formatCode>0.00%;[Red]\(0.00%\);\-</c:formatCode>
                <c:ptCount val="6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695-4CAA-AD08-AA494B31C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70746"/>
        <c:axId val="55147621"/>
      </c:lineChart>
      <c:dateAx>
        <c:axId val="637074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55147621"/>
        <c:crosses val="autoZero"/>
        <c:auto val="1"/>
        <c:lblOffset val="100"/>
        <c:baseTimeUnit val="months"/>
      </c:dateAx>
      <c:valAx>
        <c:axId val="5514762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CO"/>
                  <a:t>% YoY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63707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accent4"/>
      </a:solidFill>
      <a:round/>
    </a:ln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r>
              <a:rPr lang="es-CO" sz="1800" b="1">
                <a:solidFill>
                  <a:schemeClr val="accent5"/>
                </a:solidFill>
              </a:rPr>
              <a:t>TPM</a:t>
            </a:r>
            <a:r>
              <a:rPr lang="es-CO" sz="1800" b="1" baseline="0">
                <a:solidFill>
                  <a:schemeClr val="accent5"/>
                </a:solidFill>
              </a:rPr>
              <a:t> LATAM - USA</a:t>
            </a:r>
            <a:endParaRPr lang="es-CO" sz="1800" b="1">
              <a:solidFill>
                <a:schemeClr val="accent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ura Sans" pitchFamily="50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'7_TPM''s'!$C$5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rgbClr val="51C599"/>
              </a:solidFill>
              <a:round/>
            </a:ln>
            <a:effectLst/>
          </c:spPr>
          <c:marker>
            <c:symbol val="none"/>
          </c:marker>
          <c:cat>
            <c:numRef>
              <c:f>'7_TPM''s'!$B$6:$B$87</c:f>
              <c:numCache>
                <c:formatCode>mmm\-yy</c:formatCode>
                <c:ptCount val="82"/>
                <c:pt idx="0">
                  <c:v>43861.0</c:v>
                </c:pt>
                <c:pt idx="1">
                  <c:v>43890.0</c:v>
                </c:pt>
                <c:pt idx="2">
                  <c:v>43921.0</c:v>
                </c:pt>
                <c:pt idx="3">
                  <c:v>43951.0</c:v>
                </c:pt>
                <c:pt idx="4">
                  <c:v>43982.0</c:v>
                </c:pt>
                <c:pt idx="5">
                  <c:v>44012.0</c:v>
                </c:pt>
                <c:pt idx="6">
                  <c:v>44043.0</c:v>
                </c:pt>
                <c:pt idx="7">
                  <c:v>44074.0</c:v>
                </c:pt>
                <c:pt idx="8">
                  <c:v>44104.0</c:v>
                </c:pt>
                <c:pt idx="9">
                  <c:v>44135.0</c:v>
                </c:pt>
                <c:pt idx="10">
                  <c:v>44165.0</c:v>
                </c:pt>
                <c:pt idx="11">
                  <c:v>44196.0</c:v>
                </c:pt>
                <c:pt idx="12">
                  <c:v>44227.0</c:v>
                </c:pt>
                <c:pt idx="13">
                  <c:v>44255.0</c:v>
                </c:pt>
                <c:pt idx="14">
                  <c:v>44286.0</c:v>
                </c:pt>
                <c:pt idx="15">
                  <c:v>44316.0</c:v>
                </c:pt>
                <c:pt idx="16">
                  <c:v>44347.0</c:v>
                </c:pt>
                <c:pt idx="17">
                  <c:v>44377.0</c:v>
                </c:pt>
                <c:pt idx="18">
                  <c:v>44408.0</c:v>
                </c:pt>
                <c:pt idx="19">
                  <c:v>44439.0</c:v>
                </c:pt>
                <c:pt idx="20">
                  <c:v>44469.0</c:v>
                </c:pt>
                <c:pt idx="21">
                  <c:v>44500.0</c:v>
                </c:pt>
                <c:pt idx="22">
                  <c:v>44530.0</c:v>
                </c:pt>
                <c:pt idx="23">
                  <c:v>44561.0</c:v>
                </c:pt>
                <c:pt idx="24">
                  <c:v>44592.0</c:v>
                </c:pt>
                <c:pt idx="25">
                  <c:v>44620.0</c:v>
                </c:pt>
                <c:pt idx="26">
                  <c:v>44651.0</c:v>
                </c:pt>
                <c:pt idx="27">
                  <c:v>44681.0</c:v>
                </c:pt>
                <c:pt idx="28">
                  <c:v>44712.0</c:v>
                </c:pt>
                <c:pt idx="29">
                  <c:v>44742.0</c:v>
                </c:pt>
                <c:pt idx="30">
                  <c:v>44773.0</c:v>
                </c:pt>
                <c:pt idx="31">
                  <c:v>44804.0</c:v>
                </c:pt>
                <c:pt idx="32">
                  <c:v>44834.0</c:v>
                </c:pt>
                <c:pt idx="33">
                  <c:v>44865.0</c:v>
                </c:pt>
                <c:pt idx="34">
                  <c:v>44895.0</c:v>
                </c:pt>
                <c:pt idx="35">
                  <c:v>44926.0</c:v>
                </c:pt>
                <c:pt idx="36">
                  <c:v>44957.0</c:v>
                </c:pt>
                <c:pt idx="37">
                  <c:v>44985.0</c:v>
                </c:pt>
                <c:pt idx="38">
                  <c:v>45016.0</c:v>
                </c:pt>
                <c:pt idx="39">
                  <c:v>45046.0</c:v>
                </c:pt>
                <c:pt idx="40">
                  <c:v>45077.0</c:v>
                </c:pt>
                <c:pt idx="41">
                  <c:v>45107.0</c:v>
                </c:pt>
                <c:pt idx="42">
                  <c:v>45138.0</c:v>
                </c:pt>
                <c:pt idx="43">
                  <c:v>45169.0</c:v>
                </c:pt>
                <c:pt idx="44">
                  <c:v>45199.0</c:v>
                </c:pt>
                <c:pt idx="45">
                  <c:v>45230.0</c:v>
                </c:pt>
                <c:pt idx="46">
                  <c:v>45260.0</c:v>
                </c:pt>
                <c:pt idx="47">
                  <c:v>45291.0</c:v>
                </c:pt>
                <c:pt idx="48">
                  <c:v>45322.0</c:v>
                </c:pt>
                <c:pt idx="49">
                  <c:v>45351.0</c:v>
                </c:pt>
                <c:pt idx="50">
                  <c:v>45382.0</c:v>
                </c:pt>
                <c:pt idx="51">
                  <c:v>45412.0</c:v>
                </c:pt>
                <c:pt idx="52">
                  <c:v>45443.0</c:v>
                </c:pt>
                <c:pt idx="53">
                  <c:v>45473.0</c:v>
                </c:pt>
                <c:pt idx="54">
                  <c:v>45504.0</c:v>
                </c:pt>
                <c:pt idx="55">
                  <c:v>45535.0</c:v>
                </c:pt>
                <c:pt idx="56">
                  <c:v>45565.0</c:v>
                </c:pt>
                <c:pt idx="57">
                  <c:v>45596.0</c:v>
                </c:pt>
                <c:pt idx="58">
                  <c:v>45626.0</c:v>
                </c:pt>
                <c:pt idx="59">
                  <c:v>45657.0</c:v>
                </c:pt>
                <c:pt idx="60">
                  <c:v>45688.0</c:v>
                </c:pt>
                <c:pt idx="61">
                  <c:v>45716.0</c:v>
                </c:pt>
                <c:pt idx="62">
                  <c:v>45747.0</c:v>
                </c:pt>
                <c:pt idx="63">
                  <c:v>45777.0</c:v>
                </c:pt>
                <c:pt idx="64">
                  <c:v>45808.0</c:v>
                </c:pt>
                <c:pt idx="65">
                  <c:v>45838.0</c:v>
                </c:pt>
                <c:pt idx="66">
                  <c:v>45869.0</c:v>
                </c:pt>
                <c:pt idx="67">
                  <c:v>45900.0</c:v>
                </c:pt>
                <c:pt idx="68">
                  <c:v>45930.0</c:v>
                </c:pt>
                <c:pt idx="69">
                  <c:v>45961.0</c:v>
                </c:pt>
                <c:pt idx="70">
                  <c:v>45991.0</c:v>
                </c:pt>
                <c:pt idx="71">
                  <c:v>46022.0</c:v>
                </c:pt>
                <c:pt idx="72">
                  <c:v>46053.0</c:v>
                </c:pt>
                <c:pt idx="73">
                  <c:v>46081.0</c:v>
                </c:pt>
                <c:pt idx="74">
                  <c:v>46112.0</c:v>
                </c:pt>
                <c:pt idx="75">
                  <c:v>46142.0</c:v>
                </c:pt>
                <c:pt idx="76">
                  <c:v>46173.0</c:v>
                </c:pt>
                <c:pt idx="77">
                  <c:v>46203.0</c:v>
                </c:pt>
                <c:pt idx="78">
                  <c:v>46234.0</c:v>
                </c:pt>
                <c:pt idx="79">
                  <c:v>46265.0</c:v>
                </c:pt>
                <c:pt idx="80">
                  <c:v>46295.0</c:v>
                </c:pt>
                <c:pt idx="81">
                  <c:v>46326.0</c:v>
                </c:pt>
              </c:numCache>
            </c:numRef>
          </c:cat>
          <c:val>
            <c:numRef>
              <c:f>'7_TPM''s'!$C$6:$C$87</c:f>
              <c:numCache>
                <c:formatCode>0.00%</c:formatCode>
                <c:ptCount val="82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0.045</c:v>
                </c:pt>
                <c:pt idx="5">
                  <c:v>0.0425</c:v>
                </c:pt>
                <c:pt idx="6">
                  <c:v>0.0375</c:v>
                </c:pt>
                <c:pt idx="7">
                  <c:v>0.03</c:v>
                </c:pt>
                <c:pt idx="8">
                  <c:v>0.0225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0.0275</c:v>
                </c:pt>
                <c:pt idx="19">
                  <c:v>0.035</c:v>
                </c:pt>
                <c:pt idx="20">
                  <c:v>0.0425</c:v>
                </c:pt>
                <c:pt idx="21">
                  <c:v>0.0525</c:v>
                </c:pt>
                <c:pt idx="22">
                  <c:v>0.0625</c:v>
                </c:pt>
                <c:pt idx="23">
                  <c:v>0.0775</c:v>
                </c:pt>
                <c:pt idx="24">
                  <c:v>0.0925</c:v>
                </c:pt>
                <c:pt idx="25">
                  <c:v>0.1075</c:v>
                </c:pt>
                <c:pt idx="26">
                  <c:v>0.1175</c:v>
                </c:pt>
                <c:pt idx="27">
                  <c:v>0.1275</c:v>
                </c:pt>
                <c:pt idx="28">
                  <c:v>0.1275</c:v>
                </c:pt>
                <c:pt idx="29">
                  <c:v>0.1275</c:v>
                </c:pt>
                <c:pt idx="30">
                  <c:v>0.1275</c:v>
                </c:pt>
                <c:pt idx="31">
                  <c:v>0.1275</c:v>
                </c:pt>
                <c:pt idx="32">
                  <c:v>0.1325</c:v>
                </c:pt>
                <c:pt idx="33">
                  <c:v>0.1375</c:v>
                </c:pt>
                <c:pt idx="34">
                  <c:v>0.1375</c:v>
                </c:pt>
                <c:pt idx="35">
                  <c:v>0.1375</c:v>
                </c:pt>
                <c:pt idx="36">
                  <c:v>0.1375</c:v>
                </c:pt>
                <c:pt idx="37">
                  <c:v>0.1375</c:v>
                </c:pt>
                <c:pt idx="38">
                  <c:v>0.1375</c:v>
                </c:pt>
                <c:pt idx="39">
                  <c:v>0.1375</c:v>
                </c:pt>
                <c:pt idx="40">
                  <c:v>0.1375</c:v>
                </c:pt>
                <c:pt idx="41">
                  <c:v>0.1375</c:v>
                </c:pt>
                <c:pt idx="42">
                  <c:v>0.1375</c:v>
                </c:pt>
                <c:pt idx="43">
                  <c:v>0.1375</c:v>
                </c:pt>
                <c:pt idx="44">
                  <c:v>0.1375</c:v>
                </c:pt>
                <c:pt idx="45">
                  <c:v>0.1325</c:v>
                </c:pt>
                <c:pt idx="46">
                  <c:v>0.1275</c:v>
                </c:pt>
                <c:pt idx="47">
                  <c:v>0.1225</c:v>
                </c:pt>
                <c:pt idx="48">
                  <c:v>0.1175</c:v>
                </c:pt>
                <c:pt idx="49">
                  <c:v>0.1125</c:v>
                </c:pt>
                <c:pt idx="50">
                  <c:v>0.1075</c:v>
                </c:pt>
                <c:pt idx="51">
                  <c:v>0.105</c:v>
                </c:pt>
                <c:pt idx="52">
                  <c:v>0.105</c:v>
                </c:pt>
                <c:pt idx="53">
                  <c:v>0.105</c:v>
                </c:pt>
                <c:pt idx="54">
                  <c:v>0.105</c:v>
                </c:pt>
                <c:pt idx="55">
                  <c:v>0.105</c:v>
                </c:pt>
                <c:pt idx="56">
                  <c:v>0.105</c:v>
                </c:pt>
                <c:pt idx="57">
                  <c:v>0.105</c:v>
                </c:pt>
                <c:pt idx="58">
                  <c:v>0.1075</c:v>
                </c:pt>
                <c:pt idx="59">
                  <c:v>0.1125</c:v>
                </c:pt>
                <c:pt idx="60">
                  <c:v>0.1225</c:v>
                </c:pt>
                <c:pt idx="61">
                  <c:v>0.1325</c:v>
                </c:pt>
                <c:pt idx="62">
                  <c:v>0.1425</c:v>
                </c:pt>
                <c:pt idx="63">
                  <c:v>0.1475</c:v>
                </c:pt>
                <c:pt idx="64">
                  <c:v>0.1475</c:v>
                </c:pt>
                <c:pt idx="65">
                  <c:v>0.1475</c:v>
                </c:pt>
                <c:pt idx="66">
                  <c:v>0.1475</c:v>
                </c:pt>
                <c:pt idx="67">
                  <c:v>0.1475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</c:v>
                </c:pt>
                <c:pt idx="72">
                  <c:v>0.15</c:v>
                </c:pt>
                <c:pt idx="73">
                  <c:v>0.15</c:v>
                </c:pt>
                <c:pt idx="74">
                  <c:v>0.1475</c:v>
                </c:pt>
                <c:pt idx="75">
                  <c:v>0.145</c:v>
                </c:pt>
                <c:pt idx="76">
                  <c:v>0.145</c:v>
                </c:pt>
                <c:pt idx="77">
                  <c:v>0.1425</c:v>
                </c:pt>
                <c:pt idx="78">
                  <c:v>0.1425</c:v>
                </c:pt>
                <c:pt idx="79">
                  <c:v>0.14</c:v>
                </c:pt>
                <c:pt idx="80">
                  <c:v>0.1375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C-449D-8838-F867463B7B3F}"/>
            </c:ext>
          </c:extLst>
        </c:ser>
        <c:ser>
          <c:idx val="1"/>
          <c:order val="1"/>
          <c:tx>
            <c:strRef>
              <c:f>'7_TPM''s'!$D$5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'7_TPM''s'!$B$6:$B$87</c:f>
              <c:numCache>
                <c:formatCode>mmm\-yy</c:formatCode>
                <c:ptCount val="82"/>
                <c:pt idx="0">
                  <c:v>43861.0</c:v>
                </c:pt>
                <c:pt idx="1">
                  <c:v>43890.0</c:v>
                </c:pt>
                <c:pt idx="2">
                  <c:v>43921.0</c:v>
                </c:pt>
                <c:pt idx="3">
                  <c:v>43951.0</c:v>
                </c:pt>
                <c:pt idx="4">
                  <c:v>43982.0</c:v>
                </c:pt>
                <c:pt idx="5">
                  <c:v>44012.0</c:v>
                </c:pt>
                <c:pt idx="6">
                  <c:v>44043.0</c:v>
                </c:pt>
                <c:pt idx="7">
                  <c:v>44074.0</c:v>
                </c:pt>
                <c:pt idx="8">
                  <c:v>44104.0</c:v>
                </c:pt>
                <c:pt idx="9">
                  <c:v>44135.0</c:v>
                </c:pt>
                <c:pt idx="10">
                  <c:v>44165.0</c:v>
                </c:pt>
                <c:pt idx="11">
                  <c:v>44196.0</c:v>
                </c:pt>
                <c:pt idx="12">
                  <c:v>44227.0</c:v>
                </c:pt>
                <c:pt idx="13">
                  <c:v>44255.0</c:v>
                </c:pt>
                <c:pt idx="14">
                  <c:v>44286.0</c:v>
                </c:pt>
                <c:pt idx="15">
                  <c:v>44316.0</c:v>
                </c:pt>
                <c:pt idx="16">
                  <c:v>44347.0</c:v>
                </c:pt>
                <c:pt idx="17">
                  <c:v>44377.0</c:v>
                </c:pt>
                <c:pt idx="18">
                  <c:v>44408.0</c:v>
                </c:pt>
                <c:pt idx="19">
                  <c:v>44439.0</c:v>
                </c:pt>
                <c:pt idx="20">
                  <c:v>44469.0</c:v>
                </c:pt>
                <c:pt idx="21">
                  <c:v>44500.0</c:v>
                </c:pt>
                <c:pt idx="22">
                  <c:v>44530.0</c:v>
                </c:pt>
                <c:pt idx="23">
                  <c:v>44561.0</c:v>
                </c:pt>
                <c:pt idx="24">
                  <c:v>44592.0</c:v>
                </c:pt>
                <c:pt idx="25">
                  <c:v>44620.0</c:v>
                </c:pt>
                <c:pt idx="26">
                  <c:v>44651.0</c:v>
                </c:pt>
                <c:pt idx="27">
                  <c:v>44681.0</c:v>
                </c:pt>
                <c:pt idx="28">
                  <c:v>44712.0</c:v>
                </c:pt>
                <c:pt idx="29">
                  <c:v>44742.0</c:v>
                </c:pt>
                <c:pt idx="30">
                  <c:v>44773.0</c:v>
                </c:pt>
                <c:pt idx="31">
                  <c:v>44804.0</c:v>
                </c:pt>
                <c:pt idx="32">
                  <c:v>44834.0</c:v>
                </c:pt>
                <c:pt idx="33">
                  <c:v>44865.0</c:v>
                </c:pt>
                <c:pt idx="34">
                  <c:v>44895.0</c:v>
                </c:pt>
                <c:pt idx="35">
                  <c:v>44926.0</c:v>
                </c:pt>
                <c:pt idx="36">
                  <c:v>44957.0</c:v>
                </c:pt>
                <c:pt idx="37">
                  <c:v>44985.0</c:v>
                </c:pt>
                <c:pt idx="38">
                  <c:v>45016.0</c:v>
                </c:pt>
                <c:pt idx="39">
                  <c:v>45046.0</c:v>
                </c:pt>
                <c:pt idx="40">
                  <c:v>45077.0</c:v>
                </c:pt>
                <c:pt idx="41">
                  <c:v>45107.0</c:v>
                </c:pt>
                <c:pt idx="42">
                  <c:v>45138.0</c:v>
                </c:pt>
                <c:pt idx="43">
                  <c:v>45169.0</c:v>
                </c:pt>
                <c:pt idx="44">
                  <c:v>45199.0</c:v>
                </c:pt>
                <c:pt idx="45">
                  <c:v>45230.0</c:v>
                </c:pt>
                <c:pt idx="46">
                  <c:v>45260.0</c:v>
                </c:pt>
                <c:pt idx="47">
                  <c:v>45291.0</c:v>
                </c:pt>
                <c:pt idx="48">
                  <c:v>45322.0</c:v>
                </c:pt>
                <c:pt idx="49">
                  <c:v>45351.0</c:v>
                </c:pt>
                <c:pt idx="50">
                  <c:v>45382.0</c:v>
                </c:pt>
                <c:pt idx="51">
                  <c:v>45412.0</c:v>
                </c:pt>
                <c:pt idx="52">
                  <c:v>45443.0</c:v>
                </c:pt>
                <c:pt idx="53">
                  <c:v>45473.0</c:v>
                </c:pt>
                <c:pt idx="54">
                  <c:v>45504.0</c:v>
                </c:pt>
                <c:pt idx="55">
                  <c:v>45535.0</c:v>
                </c:pt>
                <c:pt idx="56">
                  <c:v>45565.0</c:v>
                </c:pt>
                <c:pt idx="57">
                  <c:v>45596.0</c:v>
                </c:pt>
                <c:pt idx="58">
                  <c:v>45626.0</c:v>
                </c:pt>
                <c:pt idx="59">
                  <c:v>45657.0</c:v>
                </c:pt>
                <c:pt idx="60">
                  <c:v>45688.0</c:v>
                </c:pt>
                <c:pt idx="61">
                  <c:v>45716.0</c:v>
                </c:pt>
                <c:pt idx="62">
                  <c:v>45747.0</c:v>
                </c:pt>
                <c:pt idx="63">
                  <c:v>45777.0</c:v>
                </c:pt>
                <c:pt idx="64">
                  <c:v>45808.0</c:v>
                </c:pt>
                <c:pt idx="65">
                  <c:v>45838.0</c:v>
                </c:pt>
                <c:pt idx="66">
                  <c:v>45869.0</c:v>
                </c:pt>
                <c:pt idx="67">
                  <c:v>45900.0</c:v>
                </c:pt>
                <c:pt idx="68">
                  <c:v>45930.0</c:v>
                </c:pt>
                <c:pt idx="69">
                  <c:v>45961.0</c:v>
                </c:pt>
                <c:pt idx="70">
                  <c:v>45991.0</c:v>
                </c:pt>
                <c:pt idx="71">
                  <c:v>46022.0</c:v>
                </c:pt>
                <c:pt idx="72">
                  <c:v>46053.0</c:v>
                </c:pt>
                <c:pt idx="73">
                  <c:v>46081.0</c:v>
                </c:pt>
                <c:pt idx="74">
                  <c:v>46112.0</c:v>
                </c:pt>
                <c:pt idx="75">
                  <c:v>46142.0</c:v>
                </c:pt>
                <c:pt idx="76">
                  <c:v>46173.0</c:v>
                </c:pt>
                <c:pt idx="77">
                  <c:v>46203.0</c:v>
                </c:pt>
                <c:pt idx="78">
                  <c:v>46234.0</c:v>
                </c:pt>
                <c:pt idx="79">
                  <c:v>46265.0</c:v>
                </c:pt>
                <c:pt idx="80">
                  <c:v>46295.0</c:v>
                </c:pt>
                <c:pt idx="81">
                  <c:v>46326.0</c:v>
                </c:pt>
              </c:numCache>
            </c:numRef>
          </c:cat>
          <c:val>
            <c:numRef>
              <c:f>'7_TPM''s'!$D$6:$D$87</c:f>
              <c:numCache>
                <c:formatCode>0.00%</c:formatCode>
                <c:ptCount val="82"/>
                <c:pt idx="0">
                  <c:v>0.0175</c:v>
                </c:pt>
                <c:pt idx="1">
                  <c:v>0.0175</c:v>
                </c:pt>
                <c:pt idx="2">
                  <c:v>0.01</c:v>
                </c:pt>
                <c:pt idx="3">
                  <c:v>0.005</c:v>
                </c:pt>
                <c:pt idx="4">
                  <c:v>0.005</c:v>
                </c:pt>
                <c:pt idx="5">
                  <c:v>0.005</c:v>
                </c:pt>
                <c:pt idx="6">
                  <c:v>0.005</c:v>
                </c:pt>
                <c:pt idx="7">
                  <c:v>0.005</c:v>
                </c:pt>
                <c:pt idx="8">
                  <c:v>0.005</c:v>
                </c:pt>
                <c:pt idx="9">
                  <c:v>0.005</c:v>
                </c:pt>
                <c:pt idx="10">
                  <c:v>0.005</c:v>
                </c:pt>
                <c:pt idx="11">
                  <c:v>0.005</c:v>
                </c:pt>
                <c:pt idx="12">
                  <c:v>0.005</c:v>
                </c:pt>
                <c:pt idx="13">
                  <c:v>0.005</c:v>
                </c:pt>
                <c:pt idx="14">
                  <c:v>0.005</c:v>
                </c:pt>
                <c:pt idx="15">
                  <c:v>0.005</c:v>
                </c:pt>
                <c:pt idx="16">
                  <c:v>0.005</c:v>
                </c:pt>
                <c:pt idx="17">
                  <c:v>0.005</c:v>
                </c:pt>
                <c:pt idx="18">
                  <c:v>0.005</c:v>
                </c:pt>
                <c:pt idx="19">
                  <c:v>0.0075</c:v>
                </c:pt>
                <c:pt idx="20">
                  <c:v>0.015</c:v>
                </c:pt>
                <c:pt idx="21">
                  <c:v>0.015</c:v>
                </c:pt>
                <c:pt idx="22">
                  <c:v>0.0275</c:v>
                </c:pt>
                <c:pt idx="23">
                  <c:v>0.0275</c:v>
                </c:pt>
                <c:pt idx="24">
                  <c:v>0.055</c:v>
                </c:pt>
                <c:pt idx="25">
                  <c:v>0.055</c:v>
                </c:pt>
                <c:pt idx="26">
                  <c:v>0.07</c:v>
                </c:pt>
                <c:pt idx="27">
                  <c:v>0.07</c:v>
                </c:pt>
                <c:pt idx="28">
                  <c:v>0.0825</c:v>
                </c:pt>
                <c:pt idx="29">
                  <c:v>0.09</c:v>
                </c:pt>
                <c:pt idx="30">
                  <c:v>0.09</c:v>
                </c:pt>
                <c:pt idx="31">
                  <c:v>0.0975</c:v>
                </c:pt>
                <c:pt idx="32">
                  <c:v>0.1075</c:v>
                </c:pt>
                <c:pt idx="33">
                  <c:v>0.1075</c:v>
                </c:pt>
                <c:pt idx="34">
                  <c:v>0.1125</c:v>
                </c:pt>
                <c:pt idx="35">
                  <c:v>0.1125</c:v>
                </c:pt>
                <c:pt idx="36">
                  <c:v>0.1125</c:v>
                </c:pt>
                <c:pt idx="37">
                  <c:v>0.1125</c:v>
                </c:pt>
                <c:pt idx="38">
                  <c:v>0.1125</c:v>
                </c:pt>
                <c:pt idx="39">
                  <c:v>0.1125</c:v>
                </c:pt>
                <c:pt idx="40">
                  <c:v>0.1125</c:v>
                </c:pt>
                <c:pt idx="41">
                  <c:v>0.1125</c:v>
                </c:pt>
                <c:pt idx="42">
                  <c:v>0.1025</c:v>
                </c:pt>
                <c:pt idx="43">
                  <c:v>0.1025</c:v>
                </c:pt>
                <c:pt idx="44">
                  <c:v>0.1025</c:v>
                </c:pt>
                <c:pt idx="45">
                  <c:v>0.09</c:v>
                </c:pt>
                <c:pt idx="46">
                  <c:v>0.09</c:v>
                </c:pt>
                <c:pt idx="47">
                  <c:v>0.09</c:v>
                </c:pt>
                <c:pt idx="48">
                  <c:v>0.0825</c:v>
                </c:pt>
                <c:pt idx="49">
                  <c:v>0.0725</c:v>
                </c:pt>
                <c:pt idx="50">
                  <c:v>0.0725</c:v>
                </c:pt>
                <c:pt idx="51">
                  <c:v>0.065</c:v>
                </c:pt>
                <c:pt idx="52">
                  <c:v>0.06</c:v>
                </c:pt>
                <c:pt idx="53">
                  <c:v>0.06</c:v>
                </c:pt>
                <c:pt idx="54">
                  <c:v>0.0575</c:v>
                </c:pt>
                <c:pt idx="55">
                  <c:v>0.0575</c:v>
                </c:pt>
                <c:pt idx="56">
                  <c:v>0.055</c:v>
                </c:pt>
                <c:pt idx="57">
                  <c:v>0.055</c:v>
                </c:pt>
                <c:pt idx="58">
                  <c:v>0.055</c:v>
                </c:pt>
                <c:pt idx="59">
                  <c:v>0.055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0.0475</c:v>
                </c:pt>
                <c:pt idx="67">
                  <c:v>0.0475</c:v>
                </c:pt>
                <c:pt idx="68">
                  <c:v>0.0475</c:v>
                </c:pt>
                <c:pt idx="69">
                  <c:v>0.0475</c:v>
                </c:pt>
                <c:pt idx="70">
                  <c:v>0.0475</c:v>
                </c:pt>
                <c:pt idx="71">
                  <c:v>0.0475</c:v>
                </c:pt>
                <c:pt idx="72">
                  <c:v>0.045</c:v>
                </c:pt>
                <c:pt idx="73">
                  <c:v>0.045</c:v>
                </c:pt>
                <c:pt idx="74">
                  <c:v>0.045</c:v>
                </c:pt>
                <c:pt idx="75">
                  <c:v>0.045</c:v>
                </c:pt>
                <c:pt idx="76">
                  <c:v>0.045</c:v>
                </c:pt>
                <c:pt idx="77">
                  <c:v>0.045</c:v>
                </c:pt>
                <c:pt idx="78">
                  <c:v>0.045</c:v>
                </c:pt>
                <c:pt idx="79">
                  <c:v>0.045</c:v>
                </c:pt>
                <c:pt idx="80">
                  <c:v>0.045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FC-449D-8838-F867463B7B3F}"/>
            </c:ext>
          </c:extLst>
        </c:ser>
        <c:ser>
          <c:idx val="2"/>
          <c:order val="2"/>
          <c:tx>
            <c:strRef>
              <c:f>'7_TPM''s'!$E$5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'7_TPM''s'!$B$6:$B$87</c:f>
              <c:numCache>
                <c:formatCode>mmm\-yy</c:formatCode>
                <c:ptCount val="82"/>
                <c:pt idx="0">
                  <c:v>43861.0</c:v>
                </c:pt>
                <c:pt idx="1">
                  <c:v>43890.0</c:v>
                </c:pt>
                <c:pt idx="2">
                  <c:v>43921.0</c:v>
                </c:pt>
                <c:pt idx="3">
                  <c:v>43951.0</c:v>
                </c:pt>
                <c:pt idx="4">
                  <c:v>43982.0</c:v>
                </c:pt>
                <c:pt idx="5">
                  <c:v>44012.0</c:v>
                </c:pt>
                <c:pt idx="6">
                  <c:v>44043.0</c:v>
                </c:pt>
                <c:pt idx="7">
                  <c:v>44074.0</c:v>
                </c:pt>
                <c:pt idx="8">
                  <c:v>44104.0</c:v>
                </c:pt>
                <c:pt idx="9">
                  <c:v>44135.0</c:v>
                </c:pt>
                <c:pt idx="10">
                  <c:v>44165.0</c:v>
                </c:pt>
                <c:pt idx="11">
                  <c:v>44196.0</c:v>
                </c:pt>
                <c:pt idx="12">
                  <c:v>44227.0</c:v>
                </c:pt>
                <c:pt idx="13">
                  <c:v>44255.0</c:v>
                </c:pt>
                <c:pt idx="14">
                  <c:v>44286.0</c:v>
                </c:pt>
                <c:pt idx="15">
                  <c:v>44316.0</c:v>
                </c:pt>
                <c:pt idx="16">
                  <c:v>44347.0</c:v>
                </c:pt>
                <c:pt idx="17">
                  <c:v>44377.0</c:v>
                </c:pt>
                <c:pt idx="18">
                  <c:v>44408.0</c:v>
                </c:pt>
                <c:pt idx="19">
                  <c:v>44439.0</c:v>
                </c:pt>
                <c:pt idx="20">
                  <c:v>44469.0</c:v>
                </c:pt>
                <c:pt idx="21">
                  <c:v>44500.0</c:v>
                </c:pt>
                <c:pt idx="22">
                  <c:v>44530.0</c:v>
                </c:pt>
                <c:pt idx="23">
                  <c:v>44561.0</c:v>
                </c:pt>
                <c:pt idx="24">
                  <c:v>44592.0</c:v>
                </c:pt>
                <c:pt idx="25">
                  <c:v>44620.0</c:v>
                </c:pt>
                <c:pt idx="26">
                  <c:v>44651.0</c:v>
                </c:pt>
                <c:pt idx="27">
                  <c:v>44681.0</c:v>
                </c:pt>
                <c:pt idx="28">
                  <c:v>44712.0</c:v>
                </c:pt>
                <c:pt idx="29">
                  <c:v>44742.0</c:v>
                </c:pt>
                <c:pt idx="30">
                  <c:v>44773.0</c:v>
                </c:pt>
                <c:pt idx="31">
                  <c:v>44804.0</c:v>
                </c:pt>
                <c:pt idx="32">
                  <c:v>44834.0</c:v>
                </c:pt>
                <c:pt idx="33">
                  <c:v>44865.0</c:v>
                </c:pt>
                <c:pt idx="34">
                  <c:v>44895.0</c:v>
                </c:pt>
                <c:pt idx="35">
                  <c:v>44926.0</c:v>
                </c:pt>
                <c:pt idx="36">
                  <c:v>44957.0</c:v>
                </c:pt>
                <c:pt idx="37">
                  <c:v>44985.0</c:v>
                </c:pt>
                <c:pt idx="38">
                  <c:v>45016.0</c:v>
                </c:pt>
                <c:pt idx="39">
                  <c:v>45046.0</c:v>
                </c:pt>
                <c:pt idx="40">
                  <c:v>45077.0</c:v>
                </c:pt>
                <c:pt idx="41">
                  <c:v>45107.0</c:v>
                </c:pt>
                <c:pt idx="42">
                  <c:v>45138.0</c:v>
                </c:pt>
                <c:pt idx="43">
                  <c:v>45169.0</c:v>
                </c:pt>
                <c:pt idx="44">
                  <c:v>45199.0</c:v>
                </c:pt>
                <c:pt idx="45">
                  <c:v>45230.0</c:v>
                </c:pt>
                <c:pt idx="46">
                  <c:v>45260.0</c:v>
                </c:pt>
                <c:pt idx="47">
                  <c:v>45291.0</c:v>
                </c:pt>
                <c:pt idx="48">
                  <c:v>45322.0</c:v>
                </c:pt>
                <c:pt idx="49">
                  <c:v>45351.0</c:v>
                </c:pt>
                <c:pt idx="50">
                  <c:v>45382.0</c:v>
                </c:pt>
                <c:pt idx="51">
                  <c:v>45412.0</c:v>
                </c:pt>
                <c:pt idx="52">
                  <c:v>45443.0</c:v>
                </c:pt>
                <c:pt idx="53">
                  <c:v>45473.0</c:v>
                </c:pt>
                <c:pt idx="54">
                  <c:v>45504.0</c:v>
                </c:pt>
                <c:pt idx="55">
                  <c:v>45535.0</c:v>
                </c:pt>
                <c:pt idx="56">
                  <c:v>45565.0</c:v>
                </c:pt>
                <c:pt idx="57">
                  <c:v>45596.0</c:v>
                </c:pt>
                <c:pt idx="58">
                  <c:v>45626.0</c:v>
                </c:pt>
                <c:pt idx="59">
                  <c:v>45657.0</c:v>
                </c:pt>
                <c:pt idx="60">
                  <c:v>45688.0</c:v>
                </c:pt>
                <c:pt idx="61">
                  <c:v>45716.0</c:v>
                </c:pt>
                <c:pt idx="62">
                  <c:v>45747.0</c:v>
                </c:pt>
                <c:pt idx="63">
                  <c:v>45777.0</c:v>
                </c:pt>
                <c:pt idx="64">
                  <c:v>45808.0</c:v>
                </c:pt>
                <c:pt idx="65">
                  <c:v>45838.0</c:v>
                </c:pt>
                <c:pt idx="66">
                  <c:v>45869.0</c:v>
                </c:pt>
                <c:pt idx="67">
                  <c:v>45900.0</c:v>
                </c:pt>
                <c:pt idx="68">
                  <c:v>45930.0</c:v>
                </c:pt>
                <c:pt idx="69">
                  <c:v>45961.0</c:v>
                </c:pt>
                <c:pt idx="70">
                  <c:v>45991.0</c:v>
                </c:pt>
                <c:pt idx="71">
                  <c:v>46022.0</c:v>
                </c:pt>
                <c:pt idx="72">
                  <c:v>46053.0</c:v>
                </c:pt>
                <c:pt idx="73">
                  <c:v>46081.0</c:v>
                </c:pt>
                <c:pt idx="74">
                  <c:v>46112.0</c:v>
                </c:pt>
                <c:pt idx="75">
                  <c:v>46142.0</c:v>
                </c:pt>
                <c:pt idx="76">
                  <c:v>46173.0</c:v>
                </c:pt>
                <c:pt idx="77">
                  <c:v>46203.0</c:v>
                </c:pt>
                <c:pt idx="78">
                  <c:v>46234.0</c:v>
                </c:pt>
                <c:pt idx="79">
                  <c:v>46265.0</c:v>
                </c:pt>
                <c:pt idx="80">
                  <c:v>46295.0</c:v>
                </c:pt>
                <c:pt idx="81">
                  <c:v>46326.0</c:v>
                </c:pt>
              </c:numCache>
            </c:numRef>
          </c:cat>
          <c:val>
            <c:numRef>
              <c:f>'7_TPM''s'!$E$6:$E$87</c:f>
              <c:numCache>
                <c:formatCode>0.00%</c:formatCode>
                <c:ptCount val="82"/>
                <c:pt idx="0">
                  <c:v>0.0425</c:v>
                </c:pt>
                <c:pt idx="1">
                  <c:v>0.0425</c:v>
                </c:pt>
                <c:pt idx="2">
                  <c:v>0.0375</c:v>
                </c:pt>
                <c:pt idx="3">
                  <c:v>0.0375</c:v>
                </c:pt>
                <c:pt idx="4">
                  <c:v>0.0325</c:v>
                </c:pt>
                <c:pt idx="5">
                  <c:v>0.0275</c:v>
                </c:pt>
                <c:pt idx="6">
                  <c:v>0.025</c:v>
                </c:pt>
                <c:pt idx="7">
                  <c:v>0.0225</c:v>
                </c:pt>
                <c:pt idx="8">
                  <c:v>0.0175</c:v>
                </c:pt>
                <c:pt idx="9">
                  <c:v>0.0175</c:v>
                </c:pt>
                <c:pt idx="10">
                  <c:v>0.0175</c:v>
                </c:pt>
                <c:pt idx="11">
                  <c:v>0.0175</c:v>
                </c:pt>
                <c:pt idx="12">
                  <c:v>0.0175</c:v>
                </c:pt>
                <c:pt idx="13">
                  <c:v>0.0175</c:v>
                </c:pt>
                <c:pt idx="14">
                  <c:v>0.0175</c:v>
                </c:pt>
                <c:pt idx="15">
                  <c:v>0.0175</c:v>
                </c:pt>
                <c:pt idx="16">
                  <c:v>0.0175</c:v>
                </c:pt>
                <c:pt idx="17">
                  <c:v>0.0175</c:v>
                </c:pt>
                <c:pt idx="18">
                  <c:v>0.0175</c:v>
                </c:pt>
                <c:pt idx="19">
                  <c:v>0.0175</c:v>
                </c:pt>
                <c:pt idx="20">
                  <c:v>0.0175</c:v>
                </c:pt>
                <c:pt idx="21">
                  <c:v>0.02</c:v>
                </c:pt>
                <c:pt idx="22">
                  <c:v>0.025</c:v>
                </c:pt>
                <c:pt idx="23">
                  <c:v>0.03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0.05</c:v>
                </c:pt>
                <c:pt idx="28">
                  <c:v>0.06</c:v>
                </c:pt>
                <c:pt idx="29">
                  <c:v>0.06</c:v>
                </c:pt>
                <c:pt idx="30">
                  <c:v>0.075</c:v>
                </c:pt>
                <c:pt idx="31">
                  <c:v>0.09</c:v>
                </c:pt>
                <c:pt idx="32">
                  <c:v>0.1</c:v>
                </c:pt>
                <c:pt idx="33">
                  <c:v>0.11</c:v>
                </c:pt>
                <c:pt idx="34">
                  <c:v>0.11</c:v>
                </c:pt>
                <c:pt idx="35">
                  <c:v>0.12</c:v>
                </c:pt>
                <c:pt idx="36">
                  <c:v>0.1275</c:v>
                </c:pt>
                <c:pt idx="37">
                  <c:v>0.1275</c:v>
                </c:pt>
                <c:pt idx="38">
                  <c:v>0.13</c:v>
                </c:pt>
                <c:pt idx="39">
                  <c:v>0.13</c:v>
                </c:pt>
                <c:pt idx="40">
                  <c:v>0.1325</c:v>
                </c:pt>
                <c:pt idx="41">
                  <c:v>0.1325</c:v>
                </c:pt>
                <c:pt idx="42">
                  <c:v>0.1325</c:v>
                </c:pt>
                <c:pt idx="43">
                  <c:v>0.1325</c:v>
                </c:pt>
                <c:pt idx="44">
                  <c:v>0.1325</c:v>
                </c:pt>
                <c:pt idx="45">
                  <c:v>0.1325</c:v>
                </c:pt>
                <c:pt idx="46">
                  <c:v>0.1325</c:v>
                </c:pt>
                <c:pt idx="47">
                  <c:v>0.13</c:v>
                </c:pt>
                <c:pt idx="48">
                  <c:v>0.13</c:v>
                </c:pt>
                <c:pt idx="49">
                  <c:v>0.1275</c:v>
                </c:pt>
                <c:pt idx="50">
                  <c:v>0.1225</c:v>
                </c:pt>
                <c:pt idx="51">
                  <c:v>0.1225</c:v>
                </c:pt>
                <c:pt idx="52">
                  <c:v>0.1175</c:v>
                </c:pt>
                <c:pt idx="53">
                  <c:v>0.1175</c:v>
                </c:pt>
                <c:pt idx="54">
                  <c:v>0.1125</c:v>
                </c:pt>
                <c:pt idx="55">
                  <c:v>0.1075</c:v>
                </c:pt>
                <c:pt idx="56">
                  <c:v>0.1075</c:v>
                </c:pt>
                <c:pt idx="57">
                  <c:v>0.1025</c:v>
                </c:pt>
                <c:pt idx="58">
                  <c:v>0.0975</c:v>
                </c:pt>
                <c:pt idx="59">
                  <c:v>0.095</c:v>
                </c:pt>
                <c:pt idx="60">
                  <c:v>0.095</c:v>
                </c:pt>
                <c:pt idx="61">
                  <c:v>0.095</c:v>
                </c:pt>
                <c:pt idx="62">
                  <c:v>0.095</c:v>
                </c:pt>
                <c:pt idx="63">
                  <c:v>0.095</c:v>
                </c:pt>
                <c:pt idx="64">
                  <c:v>0.0925</c:v>
                </c:pt>
                <c:pt idx="65">
                  <c:v>0.0925</c:v>
                </c:pt>
                <c:pt idx="66">
                  <c:v>0.0925</c:v>
                </c:pt>
                <c:pt idx="67">
                  <c:v>0.0925</c:v>
                </c:pt>
                <c:pt idx="68">
                  <c:v>0.0925</c:v>
                </c:pt>
                <c:pt idx="69">
                  <c:v>0.0925</c:v>
                </c:pt>
                <c:pt idx="70">
                  <c:v>0.0925</c:v>
                </c:pt>
                <c:pt idx="71">
                  <c:v>0.0925</c:v>
                </c:pt>
                <c:pt idx="72">
                  <c:v>0.0925</c:v>
                </c:pt>
                <c:pt idx="73">
                  <c:v>0.1025</c:v>
                </c:pt>
                <c:pt idx="74">
                  <c:v>0.1025</c:v>
                </c:pt>
                <c:pt idx="75">
                  <c:v>0.1125</c:v>
                </c:pt>
                <c:pt idx="76">
                  <c:v>0.1125</c:v>
                </c:pt>
                <c:pt idx="77">
                  <c:v>0.1125</c:v>
                </c:pt>
                <c:pt idx="78">
                  <c:v>0.12</c:v>
                </c:pt>
                <c:pt idx="79">
                  <c:v>0.12</c:v>
                </c:pt>
                <c:pt idx="8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FC-449D-8838-F867463B7B3F}"/>
            </c:ext>
          </c:extLst>
        </c:ser>
        <c:ser>
          <c:idx val="3"/>
          <c:order val="3"/>
          <c:tx>
            <c:strRef>
              <c:f>'7_TPM''s'!$F$5</c:f>
              <c:strCache>
                <c:ptCount val="1"/>
                <c:pt idx="0">
                  <c:v>MEXICO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'7_TPM''s'!$B$6:$B$87</c:f>
              <c:numCache>
                <c:formatCode>mmm\-yy</c:formatCode>
                <c:ptCount val="82"/>
                <c:pt idx="0">
                  <c:v>43861.0</c:v>
                </c:pt>
                <c:pt idx="1">
                  <c:v>43890.0</c:v>
                </c:pt>
                <c:pt idx="2">
                  <c:v>43921.0</c:v>
                </c:pt>
                <c:pt idx="3">
                  <c:v>43951.0</c:v>
                </c:pt>
                <c:pt idx="4">
                  <c:v>43982.0</c:v>
                </c:pt>
                <c:pt idx="5">
                  <c:v>44012.0</c:v>
                </c:pt>
                <c:pt idx="6">
                  <c:v>44043.0</c:v>
                </c:pt>
                <c:pt idx="7">
                  <c:v>44074.0</c:v>
                </c:pt>
                <c:pt idx="8">
                  <c:v>44104.0</c:v>
                </c:pt>
                <c:pt idx="9">
                  <c:v>44135.0</c:v>
                </c:pt>
                <c:pt idx="10">
                  <c:v>44165.0</c:v>
                </c:pt>
                <c:pt idx="11">
                  <c:v>44196.0</c:v>
                </c:pt>
                <c:pt idx="12">
                  <c:v>44227.0</c:v>
                </c:pt>
                <c:pt idx="13">
                  <c:v>44255.0</c:v>
                </c:pt>
                <c:pt idx="14">
                  <c:v>44286.0</c:v>
                </c:pt>
                <c:pt idx="15">
                  <c:v>44316.0</c:v>
                </c:pt>
                <c:pt idx="16">
                  <c:v>44347.0</c:v>
                </c:pt>
                <c:pt idx="17">
                  <c:v>44377.0</c:v>
                </c:pt>
                <c:pt idx="18">
                  <c:v>44408.0</c:v>
                </c:pt>
                <c:pt idx="19">
                  <c:v>44439.0</c:v>
                </c:pt>
                <c:pt idx="20">
                  <c:v>44469.0</c:v>
                </c:pt>
                <c:pt idx="21">
                  <c:v>44500.0</c:v>
                </c:pt>
                <c:pt idx="22">
                  <c:v>44530.0</c:v>
                </c:pt>
                <c:pt idx="23">
                  <c:v>44561.0</c:v>
                </c:pt>
                <c:pt idx="24">
                  <c:v>44592.0</c:v>
                </c:pt>
                <c:pt idx="25">
                  <c:v>44620.0</c:v>
                </c:pt>
                <c:pt idx="26">
                  <c:v>44651.0</c:v>
                </c:pt>
                <c:pt idx="27">
                  <c:v>44681.0</c:v>
                </c:pt>
                <c:pt idx="28">
                  <c:v>44712.0</c:v>
                </c:pt>
                <c:pt idx="29">
                  <c:v>44742.0</c:v>
                </c:pt>
                <c:pt idx="30">
                  <c:v>44773.0</c:v>
                </c:pt>
                <c:pt idx="31">
                  <c:v>44804.0</c:v>
                </c:pt>
                <c:pt idx="32">
                  <c:v>44834.0</c:v>
                </c:pt>
                <c:pt idx="33">
                  <c:v>44865.0</c:v>
                </c:pt>
                <c:pt idx="34">
                  <c:v>44895.0</c:v>
                </c:pt>
                <c:pt idx="35">
                  <c:v>44926.0</c:v>
                </c:pt>
                <c:pt idx="36">
                  <c:v>44957.0</c:v>
                </c:pt>
                <c:pt idx="37">
                  <c:v>44985.0</c:v>
                </c:pt>
                <c:pt idx="38">
                  <c:v>45016.0</c:v>
                </c:pt>
                <c:pt idx="39">
                  <c:v>45046.0</c:v>
                </c:pt>
                <c:pt idx="40">
                  <c:v>45077.0</c:v>
                </c:pt>
                <c:pt idx="41">
                  <c:v>45107.0</c:v>
                </c:pt>
                <c:pt idx="42">
                  <c:v>45138.0</c:v>
                </c:pt>
                <c:pt idx="43">
                  <c:v>45169.0</c:v>
                </c:pt>
                <c:pt idx="44">
                  <c:v>45199.0</c:v>
                </c:pt>
                <c:pt idx="45">
                  <c:v>45230.0</c:v>
                </c:pt>
                <c:pt idx="46">
                  <c:v>45260.0</c:v>
                </c:pt>
                <c:pt idx="47">
                  <c:v>45291.0</c:v>
                </c:pt>
                <c:pt idx="48">
                  <c:v>45322.0</c:v>
                </c:pt>
                <c:pt idx="49">
                  <c:v>45351.0</c:v>
                </c:pt>
                <c:pt idx="50">
                  <c:v>45382.0</c:v>
                </c:pt>
                <c:pt idx="51">
                  <c:v>45412.0</c:v>
                </c:pt>
                <c:pt idx="52">
                  <c:v>45443.0</c:v>
                </c:pt>
                <c:pt idx="53">
                  <c:v>45473.0</c:v>
                </c:pt>
                <c:pt idx="54">
                  <c:v>45504.0</c:v>
                </c:pt>
                <c:pt idx="55">
                  <c:v>45535.0</c:v>
                </c:pt>
                <c:pt idx="56">
                  <c:v>45565.0</c:v>
                </c:pt>
                <c:pt idx="57">
                  <c:v>45596.0</c:v>
                </c:pt>
                <c:pt idx="58">
                  <c:v>45626.0</c:v>
                </c:pt>
                <c:pt idx="59">
                  <c:v>45657.0</c:v>
                </c:pt>
                <c:pt idx="60">
                  <c:v>45688.0</c:v>
                </c:pt>
                <c:pt idx="61">
                  <c:v>45716.0</c:v>
                </c:pt>
                <c:pt idx="62">
                  <c:v>45747.0</c:v>
                </c:pt>
                <c:pt idx="63">
                  <c:v>45777.0</c:v>
                </c:pt>
                <c:pt idx="64">
                  <c:v>45808.0</c:v>
                </c:pt>
                <c:pt idx="65">
                  <c:v>45838.0</c:v>
                </c:pt>
                <c:pt idx="66">
                  <c:v>45869.0</c:v>
                </c:pt>
                <c:pt idx="67">
                  <c:v>45900.0</c:v>
                </c:pt>
                <c:pt idx="68">
                  <c:v>45930.0</c:v>
                </c:pt>
                <c:pt idx="69">
                  <c:v>45961.0</c:v>
                </c:pt>
                <c:pt idx="70">
                  <c:v>45991.0</c:v>
                </c:pt>
                <c:pt idx="71">
                  <c:v>46022.0</c:v>
                </c:pt>
                <c:pt idx="72">
                  <c:v>46053.0</c:v>
                </c:pt>
                <c:pt idx="73">
                  <c:v>46081.0</c:v>
                </c:pt>
                <c:pt idx="74">
                  <c:v>46112.0</c:v>
                </c:pt>
                <c:pt idx="75">
                  <c:v>46142.0</c:v>
                </c:pt>
                <c:pt idx="76">
                  <c:v>46173.0</c:v>
                </c:pt>
                <c:pt idx="77">
                  <c:v>46203.0</c:v>
                </c:pt>
                <c:pt idx="78">
                  <c:v>46234.0</c:v>
                </c:pt>
                <c:pt idx="79">
                  <c:v>46265.0</c:v>
                </c:pt>
                <c:pt idx="80">
                  <c:v>46295.0</c:v>
                </c:pt>
                <c:pt idx="81">
                  <c:v>46326.0</c:v>
                </c:pt>
              </c:numCache>
            </c:numRef>
          </c:cat>
          <c:val>
            <c:numRef>
              <c:f>'7_TPM''s'!$F$6:$F$87</c:f>
              <c:numCache>
                <c:formatCode>0.00%</c:formatCode>
                <c:ptCount val="82"/>
                <c:pt idx="0">
                  <c:v>0.0725</c:v>
                </c:pt>
                <c:pt idx="1">
                  <c:v>0.07</c:v>
                </c:pt>
                <c:pt idx="2">
                  <c:v>0.065</c:v>
                </c:pt>
                <c:pt idx="3">
                  <c:v>0.06</c:v>
                </c:pt>
                <c:pt idx="4">
                  <c:v>0.055</c:v>
                </c:pt>
                <c:pt idx="5">
                  <c:v>0.05</c:v>
                </c:pt>
                <c:pt idx="6">
                  <c:v>0.05</c:v>
                </c:pt>
                <c:pt idx="7">
                  <c:v>0.045</c:v>
                </c:pt>
                <c:pt idx="8">
                  <c:v>0.0425</c:v>
                </c:pt>
                <c:pt idx="9">
                  <c:v>0.0425</c:v>
                </c:pt>
                <c:pt idx="10">
                  <c:v>0.0425</c:v>
                </c:pt>
                <c:pt idx="11">
                  <c:v>0.0425</c:v>
                </c:pt>
                <c:pt idx="12">
                  <c:v>0.0425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0.0425</c:v>
                </c:pt>
                <c:pt idx="18">
                  <c:v>0.0425</c:v>
                </c:pt>
                <c:pt idx="19">
                  <c:v>0.045</c:v>
                </c:pt>
                <c:pt idx="20">
                  <c:v>0.045</c:v>
                </c:pt>
                <c:pt idx="21">
                  <c:v>0.0475</c:v>
                </c:pt>
                <c:pt idx="22">
                  <c:v>0.05</c:v>
                </c:pt>
                <c:pt idx="23">
                  <c:v>0.055</c:v>
                </c:pt>
                <c:pt idx="24">
                  <c:v>0.055</c:v>
                </c:pt>
                <c:pt idx="25">
                  <c:v>0.06</c:v>
                </c:pt>
                <c:pt idx="26">
                  <c:v>0.065</c:v>
                </c:pt>
                <c:pt idx="27">
                  <c:v>0.065</c:v>
                </c:pt>
                <c:pt idx="28">
                  <c:v>0.07</c:v>
                </c:pt>
                <c:pt idx="29">
                  <c:v>0.0775</c:v>
                </c:pt>
                <c:pt idx="30">
                  <c:v>0.0775</c:v>
                </c:pt>
                <c:pt idx="31">
                  <c:v>0.085</c:v>
                </c:pt>
                <c:pt idx="32">
                  <c:v>0.0925</c:v>
                </c:pt>
                <c:pt idx="33">
                  <c:v>0.0925</c:v>
                </c:pt>
                <c:pt idx="34">
                  <c:v>0.1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0.1125</c:v>
                </c:pt>
                <c:pt idx="39">
                  <c:v>0.1125</c:v>
                </c:pt>
                <c:pt idx="40">
                  <c:v>0.1125</c:v>
                </c:pt>
                <c:pt idx="41">
                  <c:v>0.1125</c:v>
                </c:pt>
                <c:pt idx="42">
                  <c:v>0.1125</c:v>
                </c:pt>
                <c:pt idx="43">
                  <c:v>0.1125</c:v>
                </c:pt>
                <c:pt idx="44">
                  <c:v>0.1125</c:v>
                </c:pt>
                <c:pt idx="45">
                  <c:v>0.1125</c:v>
                </c:pt>
                <c:pt idx="46">
                  <c:v>0.1125</c:v>
                </c:pt>
                <c:pt idx="47">
                  <c:v>0.1125</c:v>
                </c:pt>
                <c:pt idx="48">
                  <c:v>0.1125</c:v>
                </c:pt>
                <c:pt idx="49">
                  <c:v>0.1125</c:v>
                </c:pt>
                <c:pt idx="50">
                  <c:v>0.11</c:v>
                </c:pt>
                <c:pt idx="51">
                  <c:v>0.11</c:v>
                </c:pt>
                <c:pt idx="52">
                  <c:v>0.11</c:v>
                </c:pt>
                <c:pt idx="53">
                  <c:v>0.11</c:v>
                </c:pt>
                <c:pt idx="54">
                  <c:v>0.11</c:v>
                </c:pt>
                <c:pt idx="55">
                  <c:v>0.1075</c:v>
                </c:pt>
                <c:pt idx="56">
                  <c:v>0.105</c:v>
                </c:pt>
                <c:pt idx="57">
                  <c:v>0.105</c:v>
                </c:pt>
                <c:pt idx="58">
                  <c:v>0.1025</c:v>
                </c:pt>
                <c:pt idx="59">
                  <c:v>0.1</c:v>
                </c:pt>
                <c:pt idx="60">
                  <c:v>0.1</c:v>
                </c:pt>
                <c:pt idx="61">
                  <c:v>0.095</c:v>
                </c:pt>
                <c:pt idx="62">
                  <c:v>0.09</c:v>
                </c:pt>
                <c:pt idx="63">
                  <c:v>0.09</c:v>
                </c:pt>
                <c:pt idx="64">
                  <c:v>0.085</c:v>
                </c:pt>
                <c:pt idx="65">
                  <c:v>0.08</c:v>
                </c:pt>
                <c:pt idx="66">
                  <c:v>0.08</c:v>
                </c:pt>
                <c:pt idx="67">
                  <c:v>0.0775</c:v>
                </c:pt>
                <c:pt idx="68">
                  <c:v>0.075</c:v>
                </c:pt>
                <c:pt idx="69">
                  <c:v>0.075</c:v>
                </c:pt>
                <c:pt idx="70">
                  <c:v>0.0725</c:v>
                </c:pt>
                <c:pt idx="71">
                  <c:v>0.07</c:v>
                </c:pt>
                <c:pt idx="72">
                  <c:v>0.07</c:v>
                </c:pt>
                <c:pt idx="73">
                  <c:v>0.07</c:v>
                </c:pt>
                <c:pt idx="74">
                  <c:v>0.0675</c:v>
                </c:pt>
                <c:pt idx="75">
                  <c:v>0.0675</c:v>
                </c:pt>
                <c:pt idx="76">
                  <c:v>0.065</c:v>
                </c:pt>
                <c:pt idx="77">
                  <c:v>0.065</c:v>
                </c:pt>
                <c:pt idx="78">
                  <c:v>0.065</c:v>
                </c:pt>
                <c:pt idx="79">
                  <c:v>0.065</c:v>
                </c:pt>
                <c:pt idx="80">
                  <c:v>0.065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FC-449D-8838-F867463B7B3F}"/>
            </c:ext>
          </c:extLst>
        </c:ser>
        <c:ser>
          <c:idx val="4"/>
          <c:order val="4"/>
          <c:tx>
            <c:strRef>
              <c:f>'7_TPM''s'!$G$5</c:f>
              <c:strCache>
                <c:ptCount val="1"/>
                <c:pt idx="0">
                  <c:v>PERU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'7_TPM''s'!$B$6:$B$87</c:f>
              <c:numCache>
                <c:formatCode>mmm\-yy</c:formatCode>
                <c:ptCount val="82"/>
                <c:pt idx="0">
                  <c:v>43861.0</c:v>
                </c:pt>
                <c:pt idx="1">
                  <c:v>43890.0</c:v>
                </c:pt>
                <c:pt idx="2">
                  <c:v>43921.0</c:v>
                </c:pt>
                <c:pt idx="3">
                  <c:v>43951.0</c:v>
                </c:pt>
                <c:pt idx="4">
                  <c:v>43982.0</c:v>
                </c:pt>
                <c:pt idx="5">
                  <c:v>44012.0</c:v>
                </c:pt>
                <c:pt idx="6">
                  <c:v>44043.0</c:v>
                </c:pt>
                <c:pt idx="7">
                  <c:v>44074.0</c:v>
                </c:pt>
                <c:pt idx="8">
                  <c:v>44104.0</c:v>
                </c:pt>
                <c:pt idx="9">
                  <c:v>44135.0</c:v>
                </c:pt>
                <c:pt idx="10">
                  <c:v>44165.0</c:v>
                </c:pt>
                <c:pt idx="11">
                  <c:v>44196.0</c:v>
                </c:pt>
                <c:pt idx="12">
                  <c:v>44227.0</c:v>
                </c:pt>
                <c:pt idx="13">
                  <c:v>44255.0</c:v>
                </c:pt>
                <c:pt idx="14">
                  <c:v>44286.0</c:v>
                </c:pt>
                <c:pt idx="15">
                  <c:v>44316.0</c:v>
                </c:pt>
                <c:pt idx="16">
                  <c:v>44347.0</c:v>
                </c:pt>
                <c:pt idx="17">
                  <c:v>44377.0</c:v>
                </c:pt>
                <c:pt idx="18">
                  <c:v>44408.0</c:v>
                </c:pt>
                <c:pt idx="19">
                  <c:v>44439.0</c:v>
                </c:pt>
                <c:pt idx="20">
                  <c:v>44469.0</c:v>
                </c:pt>
                <c:pt idx="21">
                  <c:v>44500.0</c:v>
                </c:pt>
                <c:pt idx="22">
                  <c:v>44530.0</c:v>
                </c:pt>
                <c:pt idx="23">
                  <c:v>44561.0</c:v>
                </c:pt>
                <c:pt idx="24">
                  <c:v>44592.0</c:v>
                </c:pt>
                <c:pt idx="25">
                  <c:v>44620.0</c:v>
                </c:pt>
                <c:pt idx="26">
                  <c:v>44651.0</c:v>
                </c:pt>
                <c:pt idx="27">
                  <c:v>44681.0</c:v>
                </c:pt>
                <c:pt idx="28">
                  <c:v>44712.0</c:v>
                </c:pt>
                <c:pt idx="29">
                  <c:v>44742.0</c:v>
                </c:pt>
                <c:pt idx="30">
                  <c:v>44773.0</c:v>
                </c:pt>
                <c:pt idx="31">
                  <c:v>44804.0</c:v>
                </c:pt>
                <c:pt idx="32">
                  <c:v>44834.0</c:v>
                </c:pt>
                <c:pt idx="33">
                  <c:v>44865.0</c:v>
                </c:pt>
                <c:pt idx="34">
                  <c:v>44895.0</c:v>
                </c:pt>
                <c:pt idx="35">
                  <c:v>44926.0</c:v>
                </c:pt>
                <c:pt idx="36">
                  <c:v>44957.0</c:v>
                </c:pt>
                <c:pt idx="37">
                  <c:v>44985.0</c:v>
                </c:pt>
                <c:pt idx="38">
                  <c:v>45016.0</c:v>
                </c:pt>
                <c:pt idx="39">
                  <c:v>45046.0</c:v>
                </c:pt>
                <c:pt idx="40">
                  <c:v>45077.0</c:v>
                </c:pt>
                <c:pt idx="41">
                  <c:v>45107.0</c:v>
                </c:pt>
                <c:pt idx="42">
                  <c:v>45138.0</c:v>
                </c:pt>
                <c:pt idx="43">
                  <c:v>45169.0</c:v>
                </c:pt>
                <c:pt idx="44">
                  <c:v>45199.0</c:v>
                </c:pt>
                <c:pt idx="45">
                  <c:v>45230.0</c:v>
                </c:pt>
                <c:pt idx="46">
                  <c:v>45260.0</c:v>
                </c:pt>
                <c:pt idx="47">
                  <c:v>45291.0</c:v>
                </c:pt>
                <c:pt idx="48">
                  <c:v>45322.0</c:v>
                </c:pt>
                <c:pt idx="49">
                  <c:v>45351.0</c:v>
                </c:pt>
                <c:pt idx="50">
                  <c:v>45382.0</c:v>
                </c:pt>
                <c:pt idx="51">
                  <c:v>45412.0</c:v>
                </c:pt>
                <c:pt idx="52">
                  <c:v>45443.0</c:v>
                </c:pt>
                <c:pt idx="53">
                  <c:v>45473.0</c:v>
                </c:pt>
                <c:pt idx="54">
                  <c:v>45504.0</c:v>
                </c:pt>
                <c:pt idx="55">
                  <c:v>45535.0</c:v>
                </c:pt>
                <c:pt idx="56">
                  <c:v>45565.0</c:v>
                </c:pt>
                <c:pt idx="57">
                  <c:v>45596.0</c:v>
                </c:pt>
                <c:pt idx="58">
                  <c:v>45626.0</c:v>
                </c:pt>
                <c:pt idx="59">
                  <c:v>45657.0</c:v>
                </c:pt>
                <c:pt idx="60">
                  <c:v>45688.0</c:v>
                </c:pt>
                <c:pt idx="61">
                  <c:v>45716.0</c:v>
                </c:pt>
                <c:pt idx="62">
                  <c:v>45747.0</c:v>
                </c:pt>
                <c:pt idx="63">
                  <c:v>45777.0</c:v>
                </c:pt>
                <c:pt idx="64">
                  <c:v>45808.0</c:v>
                </c:pt>
                <c:pt idx="65">
                  <c:v>45838.0</c:v>
                </c:pt>
                <c:pt idx="66">
                  <c:v>45869.0</c:v>
                </c:pt>
                <c:pt idx="67">
                  <c:v>45900.0</c:v>
                </c:pt>
                <c:pt idx="68">
                  <c:v>45930.0</c:v>
                </c:pt>
                <c:pt idx="69">
                  <c:v>45961.0</c:v>
                </c:pt>
                <c:pt idx="70">
                  <c:v>45991.0</c:v>
                </c:pt>
                <c:pt idx="71">
                  <c:v>46022.0</c:v>
                </c:pt>
                <c:pt idx="72">
                  <c:v>46053.0</c:v>
                </c:pt>
                <c:pt idx="73">
                  <c:v>46081.0</c:v>
                </c:pt>
                <c:pt idx="74">
                  <c:v>46112.0</c:v>
                </c:pt>
                <c:pt idx="75">
                  <c:v>46142.0</c:v>
                </c:pt>
                <c:pt idx="76">
                  <c:v>46173.0</c:v>
                </c:pt>
                <c:pt idx="77">
                  <c:v>46203.0</c:v>
                </c:pt>
                <c:pt idx="78">
                  <c:v>46234.0</c:v>
                </c:pt>
                <c:pt idx="79">
                  <c:v>46265.0</c:v>
                </c:pt>
                <c:pt idx="80">
                  <c:v>46295.0</c:v>
                </c:pt>
                <c:pt idx="81">
                  <c:v>46326.0</c:v>
                </c:pt>
              </c:numCache>
            </c:numRef>
          </c:cat>
          <c:val>
            <c:numRef>
              <c:f>'7_TPM''s'!$G$6:$G$87</c:f>
              <c:numCache>
                <c:formatCode>0.00%</c:formatCode>
                <c:ptCount val="82"/>
                <c:pt idx="0">
                  <c:v>0.0225</c:v>
                </c:pt>
                <c:pt idx="1">
                  <c:v>0.0225</c:v>
                </c:pt>
                <c:pt idx="2">
                  <c:v>0.0125</c:v>
                </c:pt>
                <c:pt idx="3">
                  <c:v>0.0025</c:v>
                </c:pt>
                <c:pt idx="4">
                  <c:v>0.0025</c:v>
                </c:pt>
                <c:pt idx="5">
                  <c:v>0.0025</c:v>
                </c:pt>
                <c:pt idx="6">
                  <c:v>0.0025</c:v>
                </c:pt>
                <c:pt idx="7">
                  <c:v>0.0025</c:v>
                </c:pt>
                <c:pt idx="8">
                  <c:v>0.0025</c:v>
                </c:pt>
                <c:pt idx="9">
                  <c:v>0.0025</c:v>
                </c:pt>
                <c:pt idx="10">
                  <c:v>0.0025</c:v>
                </c:pt>
                <c:pt idx="11">
                  <c:v>0.0025</c:v>
                </c:pt>
                <c:pt idx="12">
                  <c:v>0.0025</c:v>
                </c:pt>
                <c:pt idx="13">
                  <c:v>0.0025</c:v>
                </c:pt>
                <c:pt idx="14">
                  <c:v>0.0025</c:v>
                </c:pt>
                <c:pt idx="15">
                  <c:v>0.0025</c:v>
                </c:pt>
                <c:pt idx="16">
                  <c:v>0.0025</c:v>
                </c:pt>
                <c:pt idx="17">
                  <c:v>0.0025</c:v>
                </c:pt>
                <c:pt idx="18">
                  <c:v>0.0025</c:v>
                </c:pt>
                <c:pt idx="19">
                  <c:v>0.005</c:v>
                </c:pt>
                <c:pt idx="20">
                  <c:v>0.01</c:v>
                </c:pt>
                <c:pt idx="21">
                  <c:v>0.015</c:v>
                </c:pt>
                <c:pt idx="22">
                  <c:v>0.02</c:v>
                </c:pt>
                <c:pt idx="23">
                  <c:v>0.025</c:v>
                </c:pt>
                <c:pt idx="24">
                  <c:v>0.03</c:v>
                </c:pt>
                <c:pt idx="25">
                  <c:v>0.035</c:v>
                </c:pt>
                <c:pt idx="26">
                  <c:v>0.04</c:v>
                </c:pt>
                <c:pt idx="27">
                  <c:v>0.045</c:v>
                </c:pt>
                <c:pt idx="28">
                  <c:v>0.05</c:v>
                </c:pt>
                <c:pt idx="29">
                  <c:v>0.055</c:v>
                </c:pt>
                <c:pt idx="30">
                  <c:v>0.06</c:v>
                </c:pt>
                <c:pt idx="31">
                  <c:v>0.065</c:v>
                </c:pt>
                <c:pt idx="32">
                  <c:v>0.0675</c:v>
                </c:pt>
                <c:pt idx="33">
                  <c:v>0.07</c:v>
                </c:pt>
                <c:pt idx="34">
                  <c:v>0.0725</c:v>
                </c:pt>
                <c:pt idx="35">
                  <c:v>0.075</c:v>
                </c:pt>
                <c:pt idx="36">
                  <c:v>0.0775</c:v>
                </c:pt>
                <c:pt idx="37">
                  <c:v>0.0775</c:v>
                </c:pt>
                <c:pt idx="38">
                  <c:v>0.0775</c:v>
                </c:pt>
                <c:pt idx="39">
                  <c:v>0.0775</c:v>
                </c:pt>
                <c:pt idx="40">
                  <c:v>0.0775</c:v>
                </c:pt>
                <c:pt idx="41">
                  <c:v>0.0775</c:v>
                </c:pt>
                <c:pt idx="42">
                  <c:v>0.0775</c:v>
                </c:pt>
                <c:pt idx="43">
                  <c:v>0.0775</c:v>
                </c:pt>
                <c:pt idx="44">
                  <c:v>0.075</c:v>
                </c:pt>
                <c:pt idx="45">
                  <c:v>0.0725</c:v>
                </c:pt>
                <c:pt idx="46">
                  <c:v>0.07</c:v>
                </c:pt>
                <c:pt idx="47">
                  <c:v>0.0675</c:v>
                </c:pt>
                <c:pt idx="48">
                  <c:v>0.065</c:v>
                </c:pt>
                <c:pt idx="49">
                  <c:v>0.0625</c:v>
                </c:pt>
                <c:pt idx="50">
                  <c:v>0.0625</c:v>
                </c:pt>
                <c:pt idx="51">
                  <c:v>0.06</c:v>
                </c:pt>
                <c:pt idx="52">
                  <c:v>0.0575</c:v>
                </c:pt>
                <c:pt idx="53">
                  <c:v>0.0575</c:v>
                </c:pt>
                <c:pt idx="54">
                  <c:v>0.0575</c:v>
                </c:pt>
                <c:pt idx="55">
                  <c:v>0.055</c:v>
                </c:pt>
                <c:pt idx="56">
                  <c:v>0.0525</c:v>
                </c:pt>
                <c:pt idx="57">
                  <c:v>0.0525</c:v>
                </c:pt>
                <c:pt idx="58">
                  <c:v>0.05</c:v>
                </c:pt>
                <c:pt idx="59">
                  <c:v>0.05</c:v>
                </c:pt>
                <c:pt idx="60">
                  <c:v>0.0475</c:v>
                </c:pt>
                <c:pt idx="61">
                  <c:v>0.0475</c:v>
                </c:pt>
                <c:pt idx="62">
                  <c:v>0.0475</c:v>
                </c:pt>
                <c:pt idx="63">
                  <c:v>0.0475</c:v>
                </c:pt>
                <c:pt idx="64">
                  <c:v>0.045</c:v>
                </c:pt>
                <c:pt idx="65">
                  <c:v>0.045</c:v>
                </c:pt>
                <c:pt idx="66">
                  <c:v>0.045</c:v>
                </c:pt>
                <c:pt idx="67">
                  <c:v>0.045</c:v>
                </c:pt>
                <c:pt idx="68">
                  <c:v>0.0425</c:v>
                </c:pt>
                <c:pt idx="69">
                  <c:v>0.0425</c:v>
                </c:pt>
                <c:pt idx="70">
                  <c:v>0.0425</c:v>
                </c:pt>
                <c:pt idx="71">
                  <c:v>0.0425</c:v>
                </c:pt>
                <c:pt idx="72">
                  <c:v>0.0425</c:v>
                </c:pt>
                <c:pt idx="73">
                  <c:v>0.0425</c:v>
                </c:pt>
                <c:pt idx="74">
                  <c:v>0.0425</c:v>
                </c:pt>
                <c:pt idx="75">
                  <c:v>0.0425</c:v>
                </c:pt>
                <c:pt idx="76">
                  <c:v>0.0425</c:v>
                </c:pt>
                <c:pt idx="77">
                  <c:v>0.0425</c:v>
                </c:pt>
                <c:pt idx="78">
                  <c:v>0.0425</c:v>
                </c:pt>
                <c:pt idx="79">
                  <c:v>0.0425</c:v>
                </c:pt>
                <c:pt idx="80">
                  <c:v>0.0425</c:v>
                </c:pt>
                <c:pt idx="81">
                  <c:v>0.0425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FC-449D-8838-F867463B7B3F}"/>
            </c:ext>
          </c:extLst>
        </c:ser>
        <c:ser>
          <c:idx val="5"/>
          <c:order val="5"/>
          <c:tx>
            <c:strRef>
              <c:f>'7_TPM''s'!$H$5</c:f>
              <c:strCache>
                <c:ptCount val="1"/>
                <c:pt idx="0">
                  <c:v>Estados Unidos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'7_TPM''s'!$B$6:$B$87</c:f>
              <c:numCache>
                <c:formatCode>mmm\-yy</c:formatCode>
                <c:ptCount val="82"/>
                <c:pt idx="0">
                  <c:v>43861.0</c:v>
                </c:pt>
                <c:pt idx="1">
                  <c:v>43890.0</c:v>
                </c:pt>
                <c:pt idx="2">
                  <c:v>43921.0</c:v>
                </c:pt>
                <c:pt idx="3">
                  <c:v>43951.0</c:v>
                </c:pt>
                <c:pt idx="4">
                  <c:v>43982.0</c:v>
                </c:pt>
                <c:pt idx="5">
                  <c:v>44012.0</c:v>
                </c:pt>
                <c:pt idx="6">
                  <c:v>44043.0</c:v>
                </c:pt>
                <c:pt idx="7">
                  <c:v>44074.0</c:v>
                </c:pt>
                <c:pt idx="8">
                  <c:v>44104.0</c:v>
                </c:pt>
                <c:pt idx="9">
                  <c:v>44135.0</c:v>
                </c:pt>
                <c:pt idx="10">
                  <c:v>44165.0</c:v>
                </c:pt>
                <c:pt idx="11">
                  <c:v>44196.0</c:v>
                </c:pt>
                <c:pt idx="12">
                  <c:v>44227.0</c:v>
                </c:pt>
                <c:pt idx="13">
                  <c:v>44255.0</c:v>
                </c:pt>
                <c:pt idx="14">
                  <c:v>44286.0</c:v>
                </c:pt>
                <c:pt idx="15">
                  <c:v>44316.0</c:v>
                </c:pt>
                <c:pt idx="16">
                  <c:v>44347.0</c:v>
                </c:pt>
                <c:pt idx="17">
                  <c:v>44377.0</c:v>
                </c:pt>
                <c:pt idx="18">
                  <c:v>44408.0</c:v>
                </c:pt>
                <c:pt idx="19">
                  <c:v>44439.0</c:v>
                </c:pt>
                <c:pt idx="20">
                  <c:v>44469.0</c:v>
                </c:pt>
                <c:pt idx="21">
                  <c:v>44500.0</c:v>
                </c:pt>
                <c:pt idx="22">
                  <c:v>44530.0</c:v>
                </c:pt>
                <c:pt idx="23">
                  <c:v>44561.0</c:v>
                </c:pt>
                <c:pt idx="24">
                  <c:v>44592.0</c:v>
                </c:pt>
                <c:pt idx="25">
                  <c:v>44620.0</c:v>
                </c:pt>
                <c:pt idx="26">
                  <c:v>44651.0</c:v>
                </c:pt>
                <c:pt idx="27">
                  <c:v>44681.0</c:v>
                </c:pt>
                <c:pt idx="28">
                  <c:v>44712.0</c:v>
                </c:pt>
                <c:pt idx="29">
                  <c:v>44742.0</c:v>
                </c:pt>
                <c:pt idx="30">
                  <c:v>44773.0</c:v>
                </c:pt>
                <c:pt idx="31">
                  <c:v>44804.0</c:v>
                </c:pt>
                <c:pt idx="32">
                  <c:v>44834.0</c:v>
                </c:pt>
                <c:pt idx="33">
                  <c:v>44865.0</c:v>
                </c:pt>
                <c:pt idx="34">
                  <c:v>44895.0</c:v>
                </c:pt>
                <c:pt idx="35">
                  <c:v>44926.0</c:v>
                </c:pt>
                <c:pt idx="36">
                  <c:v>44957.0</c:v>
                </c:pt>
                <c:pt idx="37">
                  <c:v>44985.0</c:v>
                </c:pt>
                <c:pt idx="38">
                  <c:v>45016.0</c:v>
                </c:pt>
                <c:pt idx="39">
                  <c:v>45046.0</c:v>
                </c:pt>
                <c:pt idx="40">
                  <c:v>45077.0</c:v>
                </c:pt>
                <c:pt idx="41">
                  <c:v>45107.0</c:v>
                </c:pt>
                <c:pt idx="42">
                  <c:v>45138.0</c:v>
                </c:pt>
                <c:pt idx="43">
                  <c:v>45169.0</c:v>
                </c:pt>
                <c:pt idx="44">
                  <c:v>45199.0</c:v>
                </c:pt>
                <c:pt idx="45">
                  <c:v>45230.0</c:v>
                </c:pt>
                <c:pt idx="46">
                  <c:v>45260.0</c:v>
                </c:pt>
                <c:pt idx="47">
                  <c:v>45291.0</c:v>
                </c:pt>
                <c:pt idx="48">
                  <c:v>45322.0</c:v>
                </c:pt>
                <c:pt idx="49">
                  <c:v>45351.0</c:v>
                </c:pt>
                <c:pt idx="50">
                  <c:v>45382.0</c:v>
                </c:pt>
                <c:pt idx="51">
                  <c:v>45412.0</c:v>
                </c:pt>
                <c:pt idx="52">
                  <c:v>45443.0</c:v>
                </c:pt>
                <c:pt idx="53">
                  <c:v>45473.0</c:v>
                </c:pt>
                <c:pt idx="54">
                  <c:v>45504.0</c:v>
                </c:pt>
                <c:pt idx="55">
                  <c:v>45535.0</c:v>
                </c:pt>
                <c:pt idx="56">
                  <c:v>45565.0</c:v>
                </c:pt>
                <c:pt idx="57">
                  <c:v>45596.0</c:v>
                </c:pt>
                <c:pt idx="58">
                  <c:v>45626.0</c:v>
                </c:pt>
                <c:pt idx="59">
                  <c:v>45657.0</c:v>
                </c:pt>
                <c:pt idx="60">
                  <c:v>45688.0</c:v>
                </c:pt>
                <c:pt idx="61">
                  <c:v>45716.0</c:v>
                </c:pt>
                <c:pt idx="62">
                  <c:v>45747.0</c:v>
                </c:pt>
                <c:pt idx="63">
                  <c:v>45777.0</c:v>
                </c:pt>
                <c:pt idx="64">
                  <c:v>45808.0</c:v>
                </c:pt>
                <c:pt idx="65">
                  <c:v>45838.0</c:v>
                </c:pt>
                <c:pt idx="66">
                  <c:v>45869.0</c:v>
                </c:pt>
                <c:pt idx="67">
                  <c:v>45900.0</c:v>
                </c:pt>
                <c:pt idx="68">
                  <c:v>45930.0</c:v>
                </c:pt>
                <c:pt idx="69">
                  <c:v>45961.0</c:v>
                </c:pt>
                <c:pt idx="70">
                  <c:v>45991.0</c:v>
                </c:pt>
                <c:pt idx="71">
                  <c:v>46022.0</c:v>
                </c:pt>
                <c:pt idx="72">
                  <c:v>46053.0</c:v>
                </c:pt>
                <c:pt idx="73">
                  <c:v>46081.0</c:v>
                </c:pt>
                <c:pt idx="74">
                  <c:v>46112.0</c:v>
                </c:pt>
                <c:pt idx="75">
                  <c:v>46142.0</c:v>
                </c:pt>
                <c:pt idx="76">
                  <c:v>46173.0</c:v>
                </c:pt>
                <c:pt idx="77">
                  <c:v>46203.0</c:v>
                </c:pt>
                <c:pt idx="78">
                  <c:v>46234.0</c:v>
                </c:pt>
                <c:pt idx="79">
                  <c:v>46265.0</c:v>
                </c:pt>
                <c:pt idx="80">
                  <c:v>46295.0</c:v>
                </c:pt>
                <c:pt idx="81">
                  <c:v>46326.0</c:v>
                </c:pt>
              </c:numCache>
            </c:numRef>
          </c:cat>
          <c:val>
            <c:numRef>
              <c:f>'7_TPM''s'!$H$6:$H$87</c:f>
              <c:numCache>
                <c:formatCode>0.00%</c:formatCode>
                <c:ptCount val="82"/>
                <c:pt idx="0">
                  <c:v>0.0155</c:v>
                </c:pt>
                <c:pt idx="1">
                  <c:v>0.0158</c:v>
                </c:pt>
                <c:pt idx="2">
                  <c:v>0.006500000000000001</c:v>
                </c:pt>
                <c:pt idx="3">
                  <c:v>0.0005</c:v>
                </c:pt>
                <c:pt idx="4">
                  <c:v>0.0005</c:v>
                </c:pt>
                <c:pt idx="5">
                  <c:v>0.0008</c:v>
                </c:pt>
                <c:pt idx="6">
                  <c:v>0.0009</c:v>
                </c:pt>
                <c:pt idx="7">
                  <c:v>0.001</c:v>
                </c:pt>
                <c:pt idx="8">
                  <c:v>0.0009</c:v>
                </c:pt>
                <c:pt idx="9">
                  <c:v>0.0009</c:v>
                </c:pt>
                <c:pt idx="10">
                  <c:v>0.0009</c:v>
                </c:pt>
                <c:pt idx="11">
                  <c:v>0.0009</c:v>
                </c:pt>
                <c:pt idx="12">
                  <c:v>0.0009</c:v>
                </c:pt>
                <c:pt idx="13">
                  <c:v>0.0008</c:v>
                </c:pt>
                <c:pt idx="14">
                  <c:v>0.0007000000000000001</c:v>
                </c:pt>
                <c:pt idx="15">
                  <c:v>0.0007000000000000001</c:v>
                </c:pt>
                <c:pt idx="16">
                  <c:v>0.0006</c:v>
                </c:pt>
                <c:pt idx="17">
                  <c:v>0.0008</c:v>
                </c:pt>
                <c:pt idx="18">
                  <c:v>0.001</c:v>
                </c:pt>
                <c:pt idx="19">
                  <c:v>0.0009</c:v>
                </c:pt>
                <c:pt idx="20">
                  <c:v>0.0008</c:v>
                </c:pt>
                <c:pt idx="21">
                  <c:v>0.0008</c:v>
                </c:pt>
                <c:pt idx="22">
                  <c:v>0.0008</c:v>
                </c:pt>
                <c:pt idx="23">
                  <c:v>0.0008</c:v>
                </c:pt>
                <c:pt idx="24">
                  <c:v>0.0008</c:v>
                </c:pt>
                <c:pt idx="25">
                  <c:v>0.0008</c:v>
                </c:pt>
                <c:pt idx="26">
                  <c:v>0.002</c:v>
                </c:pt>
                <c:pt idx="27">
                  <c:v>0.0033</c:v>
                </c:pt>
                <c:pt idx="28">
                  <c:v>0.0077</c:v>
                </c:pt>
                <c:pt idx="29">
                  <c:v>0.0121</c:v>
                </c:pt>
                <c:pt idx="30">
                  <c:v>0.0168</c:v>
                </c:pt>
                <c:pt idx="31">
                  <c:v>0.0233</c:v>
                </c:pt>
                <c:pt idx="32">
                  <c:v>0.0256</c:v>
                </c:pt>
                <c:pt idx="33">
                  <c:v>0.0308</c:v>
                </c:pt>
                <c:pt idx="34">
                  <c:v>0.0378</c:v>
                </c:pt>
                <c:pt idx="35">
                  <c:v>0.040999999999999995</c:v>
                </c:pt>
                <c:pt idx="36">
                  <c:v>0.0433</c:v>
                </c:pt>
                <c:pt idx="37">
                  <c:v>0.045700000000000005</c:v>
                </c:pt>
                <c:pt idx="38">
                  <c:v>0.04650000000000001</c:v>
                </c:pt>
                <c:pt idx="39">
                  <c:v>0.0483</c:v>
                </c:pt>
                <c:pt idx="40">
                  <c:v>0.0506</c:v>
                </c:pt>
                <c:pt idx="41">
                  <c:v>0.0508</c:v>
                </c:pt>
                <c:pt idx="42">
                  <c:v>0.0512</c:v>
                </c:pt>
                <c:pt idx="43">
                  <c:v>0.0533</c:v>
                </c:pt>
                <c:pt idx="44">
                  <c:v>0.0533</c:v>
                </c:pt>
                <c:pt idx="45">
                  <c:v>0.0533</c:v>
                </c:pt>
                <c:pt idx="46">
                  <c:v>0.0533</c:v>
                </c:pt>
                <c:pt idx="47">
                  <c:v>0.0533</c:v>
                </c:pt>
                <c:pt idx="48">
                  <c:v>0.0533</c:v>
                </c:pt>
                <c:pt idx="49">
                  <c:v>0.0533</c:v>
                </c:pt>
                <c:pt idx="50">
                  <c:v>0.0533</c:v>
                </c:pt>
                <c:pt idx="51">
                  <c:v>0.0533</c:v>
                </c:pt>
                <c:pt idx="52">
                  <c:v>0.0533</c:v>
                </c:pt>
                <c:pt idx="53">
                  <c:v>0.0533</c:v>
                </c:pt>
                <c:pt idx="54">
                  <c:v>0.0533</c:v>
                </c:pt>
                <c:pt idx="55">
                  <c:v>0.0533</c:v>
                </c:pt>
                <c:pt idx="56">
                  <c:v>0.0513</c:v>
                </c:pt>
                <c:pt idx="57">
                  <c:v>0.0483</c:v>
                </c:pt>
                <c:pt idx="58">
                  <c:v>0.0464</c:v>
                </c:pt>
                <c:pt idx="59">
                  <c:v>0.044800000000000006</c:v>
                </c:pt>
                <c:pt idx="60">
                  <c:v>0.0433</c:v>
                </c:pt>
                <c:pt idx="61">
                  <c:v>0.0433</c:v>
                </c:pt>
                <c:pt idx="62">
                  <c:v>0.0433</c:v>
                </c:pt>
                <c:pt idx="63">
                  <c:v>0.0433</c:v>
                </c:pt>
                <c:pt idx="64">
                  <c:v>0.0433</c:v>
                </c:pt>
                <c:pt idx="65">
                  <c:v>0.0433</c:v>
                </c:pt>
                <c:pt idx="66">
                  <c:v>0.0433</c:v>
                </c:pt>
                <c:pt idx="67">
                  <c:v>0.0433</c:v>
                </c:pt>
                <c:pt idx="68">
                  <c:v>0.0422</c:v>
                </c:pt>
                <c:pt idx="69">
                  <c:v>0.0409</c:v>
                </c:pt>
                <c:pt idx="70">
                  <c:v>0.0388</c:v>
                </c:pt>
                <c:pt idx="71">
                  <c:v>0.0372</c:v>
                </c:pt>
                <c:pt idx="72">
                  <c:v>0.0364</c:v>
                </c:pt>
                <c:pt idx="73">
                  <c:v>0.0364</c:v>
                </c:pt>
                <c:pt idx="74">
                  <c:v>0.0364</c:v>
                </c:pt>
                <c:pt idx="75">
                  <c:v>0.0364</c:v>
                </c:pt>
                <c:pt idx="76">
                  <c:v>0.0363</c:v>
                </c:pt>
                <c:pt idx="77">
                  <c:v>0.0363</c:v>
                </c:pt>
                <c:pt idx="78">
                  <c:v>0.0363</c:v>
                </c:pt>
                <c:pt idx="79">
                  <c:v>0.0363</c:v>
                </c:pt>
                <c:pt idx="80">
                  <c:v>0.0375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FC-449D-8838-F867463B7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17919"/>
        <c:axId val="1798394127"/>
      </c:lineChart>
      <c:dateAx>
        <c:axId val="66381791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endParaRPr lang="es-CO"/>
          </a:p>
        </c:txPr>
        <c:crossAx val="1798394127"/>
        <c:crosses val="autoZero"/>
        <c:auto val="1"/>
        <c:lblOffset val="100"/>
        <c:baseTimeUnit val="months"/>
      </c:dateAx>
      <c:valAx>
        <c:axId val="179839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endParaRPr lang="es-CO"/>
          </a:p>
        </c:txPr>
        <c:crossAx val="66381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ura Sans" pitchFamily="50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PIB_Corp_Colombia!$B$4</c:f>
              <c:strCache>
                <c:ptCount val="1"/>
                <c:pt idx="0">
                  <c:v>PIB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PIB_Corp_Colombia!$C$3:$K$3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</c:numCache>
            </c:numRef>
          </c:cat>
          <c:val>
            <c:numRef>
              <c:f>PIB_Corp_Colombia!$C$4:$K$4</c:f>
              <c:numCache>
                <c:formatCode>0.0</c:formatCode>
                <c:ptCount val="9"/>
                <c:pt idx="0">
                  <c:v>-7.19</c:v>
                </c:pt>
                <c:pt idx="1">
                  <c:v>10.8</c:v>
                </c:pt>
                <c:pt idx="2">
                  <c:v>7.33</c:v>
                </c:pt>
                <c:pt idx="3">
                  <c:v>0.84</c:v>
                </c:pt>
                <c:pt idx="4">
                  <c:v>1.49</c:v>
                </c:pt>
                <c:pt idx="5">
                  <c:v>2.64</c:v>
                </c:pt>
                <c:pt idx="6">
                  <c:v>2.19</c:v>
                </c:pt>
                <c:pt idx="7">
                  <c:v>2.4</c:v>
                </c:pt>
                <c:pt idx="8">
                  <c:v>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A-4AD0-ADBD-F9C0D94BC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14831"/>
        <c:axId val="521513391"/>
      </c:barChart>
      <c:catAx>
        <c:axId val="52151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3391"/>
        <c:crosses val="autoZero"/>
        <c:auto val="1"/>
        <c:lblAlgn val="ctr"/>
        <c:lblOffset val="100"/>
        <c:noMultiLvlLbl val="0"/>
      </c:catAx>
      <c:valAx>
        <c:axId val="52151339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Consumer</a:t>
            </a:r>
            <a:r>
              <a:rPr lang="es-CO" baseline="0"/>
              <a:t> EBITDA Margin &amp; Net Leverage Average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PIB_Corp_Colombia!$I$33</c:f>
              <c:strCache>
                <c:ptCount val="1"/>
                <c:pt idx="0">
                  <c:v>EBITDA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PIB_Corp_Colombia!$J$32:$M$32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PIB_Corp_Colombia!$J$33:$M$33</c:f>
              <c:numCache>
                <c:formatCode>0.0%</c:formatCode>
                <c:ptCount val="4"/>
                <c:pt idx="0">
                  <c:v>6.6250000000000003E-2</c:v>
                </c:pt>
                <c:pt idx="1">
                  <c:v>7.4499999999999997E-2</c:v>
                </c:pt>
                <c:pt idx="2">
                  <c:v>7.5249999999999997E-2</c:v>
                </c:pt>
                <c:pt idx="3">
                  <c:v>7.9500000000000001E-2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FF-49D3-8847-2FADDA035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56095"/>
        <c:axId val="439550335"/>
      </c:lineChart>
      <c:lineChart>
        <c:grouping val="standard"/>
        <c:varyColors val="0"/>
        <c:ser>
          <c:idx val="1"/>
          <c:order val="1"/>
          <c:tx>
            <c:strRef>
              <c:f>PIB_Corp_Colombia!$I$34</c:f>
              <c:strCache>
                <c:ptCount val="1"/>
                <c:pt idx="0">
                  <c:v>Net Leverage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PIB_Corp_Colombia!$J$32:$M$32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PIB_Corp_Colombia!$J$34:$M$34</c:f>
              <c:numCache>
                <c:formatCode>#,##0.0"x"_)</c:formatCode>
                <c:ptCount val="4"/>
                <c:pt idx="0">
                  <c:v>2.1</c:v>
                </c:pt>
                <c:pt idx="1">
                  <c:v>2.8250000000000002</c:v>
                </c:pt>
                <c:pt idx="2">
                  <c:v>2.7</c:v>
                </c:pt>
                <c:pt idx="3">
                  <c:v>2.375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FF-49D3-8847-2FADDA035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44575"/>
        <c:axId val="439545535"/>
      </c:lineChart>
      <c:catAx>
        <c:axId val="4395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0335"/>
        <c:crosses val="autoZero"/>
        <c:auto val="1"/>
        <c:lblAlgn val="ctr"/>
        <c:lblOffset val="100"/>
        <c:noMultiLvlLbl val="0"/>
      </c:catAx>
      <c:valAx>
        <c:axId val="43955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6095"/>
        <c:crosses val="autoZero"/>
        <c:crossBetween val="between"/>
      </c:valAx>
      <c:valAx>
        <c:axId val="439545535"/>
        <c:scaling>
          <c:orientation val="minMax"/>
        </c:scaling>
        <c:delete val="0"/>
        <c:axPos val="r"/>
        <c:numFmt formatCode="#,##0.0&quot;x&quot;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44575"/>
        <c:crosses val="max"/>
        <c:crossBetween val="between"/>
      </c:valAx>
      <c:catAx>
        <c:axId val="43954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545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PIB_Corp_Mex!$B$4</c:f>
              <c:strCache>
                <c:ptCount val="1"/>
                <c:pt idx="0">
                  <c:v>PIB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PIB_Corp_Mex!$C$3:$K$3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</c:numCache>
            </c:numRef>
          </c:cat>
          <c:val>
            <c:numRef>
              <c:f>PIB_Corp_Mex!$C$4:$K$4</c:f>
              <c:numCache>
                <c:formatCode>0.0</c:formatCode>
                <c:ptCount val="9"/>
                <c:pt idx="0">
                  <c:v>-8.56</c:v>
                </c:pt>
                <c:pt idx="1">
                  <c:v>6.28</c:v>
                </c:pt>
                <c:pt idx="2">
                  <c:v>3.71</c:v>
                </c:pt>
                <c:pt idx="3">
                  <c:v>3.11</c:v>
                </c:pt>
                <c:pt idx="4">
                  <c:v>1.1100000000000001</c:v>
                </c:pt>
                <c:pt idx="5">
                  <c:v>0.79</c:v>
                </c:pt>
                <c:pt idx="6" formatCode="General">
                  <c:v>0.6</c:v>
                </c:pt>
                <c:pt idx="7" formatCode="General">
                  <c:v>1.3</c:v>
                </c:pt>
                <c:pt idx="8" formatCode="General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1-4E38-B34D-D32903EE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14831"/>
        <c:axId val="521513391"/>
      </c:barChart>
      <c:catAx>
        <c:axId val="52151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3391"/>
        <c:crosses val="autoZero"/>
        <c:auto val="1"/>
        <c:lblAlgn val="ctr"/>
        <c:lblOffset val="100"/>
        <c:noMultiLvlLbl val="0"/>
      </c:catAx>
      <c:valAx>
        <c:axId val="52151339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Consumer</a:t>
            </a:r>
            <a:r>
              <a:rPr lang="es-CO" baseline="0"/>
              <a:t> EBITDA Margin &amp; Net Leverage Average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PIB_Corp_Mex!$I$35</c:f>
              <c:strCache>
                <c:ptCount val="1"/>
                <c:pt idx="0">
                  <c:v>EBITDA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PIB_Corp_Mex!$J$34:$M$34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PIB_Corp_Mex!$J$35:$M$35</c:f>
              <c:numCache>
                <c:formatCode>0.0%</c:formatCode>
                <c:ptCount val="4"/>
                <c:pt idx="0">
                  <c:v>0.1115</c:v>
                </c:pt>
                <c:pt idx="1">
                  <c:v>0.10783333333333334</c:v>
                </c:pt>
                <c:pt idx="2">
                  <c:v>0.10950000000000001</c:v>
                </c:pt>
                <c:pt idx="3">
                  <c:v>0.11133333333333333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A-4C04-8271-322F3204C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56095"/>
        <c:axId val="439550335"/>
      </c:lineChart>
      <c:lineChart>
        <c:grouping val="standard"/>
        <c:varyColors val="0"/>
        <c:ser>
          <c:idx val="1"/>
          <c:order val="1"/>
          <c:tx>
            <c:strRef>
              <c:f>PIB_Corp_Mex!$I$36</c:f>
              <c:strCache>
                <c:ptCount val="1"/>
                <c:pt idx="0">
                  <c:v>Net Leverage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PIB_Corp_Mex!$J$34:$M$34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PIB_Corp_Mex!$J$36:$M$36</c:f>
              <c:numCache>
                <c:formatCode>#,##0.0"x"_)</c:formatCode>
                <c:ptCount val="4"/>
                <c:pt idx="0">
                  <c:v>1.9333333333333336</c:v>
                </c:pt>
                <c:pt idx="1">
                  <c:v>1.9000000000000004</c:v>
                </c:pt>
                <c:pt idx="2">
                  <c:v>1.7166666666666668</c:v>
                </c:pt>
                <c:pt idx="3">
                  <c:v>1.5333333333333332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CA-4C04-8271-322F3204C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44575"/>
        <c:axId val="439545535"/>
      </c:lineChart>
      <c:catAx>
        <c:axId val="4395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0335"/>
        <c:crosses val="autoZero"/>
        <c:auto val="1"/>
        <c:lblAlgn val="ctr"/>
        <c:lblOffset val="100"/>
        <c:noMultiLvlLbl val="0"/>
      </c:catAx>
      <c:valAx>
        <c:axId val="439550335"/>
        <c:scaling>
          <c:orientation val="minMax"/>
          <c:max val="0.12000000000000001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6095"/>
        <c:crosses val="autoZero"/>
        <c:crossBetween val="between"/>
      </c:valAx>
      <c:valAx>
        <c:axId val="439545535"/>
        <c:scaling>
          <c:orientation val="minMax"/>
        </c:scaling>
        <c:delete val="0"/>
        <c:axPos val="r"/>
        <c:numFmt formatCode="#,##0.0&quot;x&quot;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44575"/>
        <c:crosses val="max"/>
        <c:crossBetween val="between"/>
      </c:valAx>
      <c:catAx>
        <c:axId val="43954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545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PIB_Corp_Chile!$B$4</c:f>
              <c:strCache>
                <c:ptCount val="1"/>
                <c:pt idx="0">
                  <c:v>PIB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PIB_Corp_Chile!$C$3:$K$3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</c:numCache>
            </c:numRef>
          </c:cat>
          <c:val>
            <c:numRef>
              <c:f>PIB_Corp_Chile!$C$4:$K$4</c:f>
              <c:numCache>
                <c:formatCode>0.0</c:formatCode>
                <c:ptCount val="9"/>
                <c:pt idx="0">
                  <c:v>-6.1</c:v>
                </c:pt>
                <c:pt idx="1">
                  <c:v>11.3</c:v>
                </c:pt>
                <c:pt idx="2">
                  <c:v>2.08</c:v>
                </c:pt>
                <c:pt idx="3">
                  <c:v>0.78</c:v>
                </c:pt>
                <c:pt idx="4">
                  <c:v>2.59</c:v>
                </c:pt>
                <c:pt idx="5">
                  <c:v>2.4</c:v>
                </c:pt>
                <c:pt idx="6">
                  <c:v>2.16</c:v>
                </c:pt>
                <c:pt idx="7">
                  <c:v>2.2999999999999998</c:v>
                </c:pt>
                <c:pt idx="8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6-4DC8-9BB9-FF6275CDC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14831"/>
        <c:axId val="521513391"/>
      </c:barChart>
      <c:catAx>
        <c:axId val="52151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3391"/>
        <c:crosses val="autoZero"/>
        <c:auto val="1"/>
        <c:lblAlgn val="ctr"/>
        <c:lblOffset val="100"/>
        <c:noMultiLvlLbl val="0"/>
      </c:catAx>
      <c:valAx>
        <c:axId val="52151339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Consumer</a:t>
            </a:r>
            <a:r>
              <a:rPr lang="es-CO" baseline="0"/>
              <a:t> EBITDA Margin &amp; Net Leverage Average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PIB_Corp_Chile!$I$35</c:f>
              <c:strCache>
                <c:ptCount val="1"/>
                <c:pt idx="0">
                  <c:v>EBITDA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PIB_Corp_Chile!$J$34:$M$34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PIB_Corp_Chile!$J$35:$M$35</c:f>
              <c:numCache>
                <c:formatCode>0.0%</c:formatCode>
                <c:ptCount val="4"/>
                <c:pt idx="0">
                  <c:v>9.8800000000000013E-2</c:v>
                </c:pt>
                <c:pt idx="1">
                  <c:v>9.760000000000002E-2</c:v>
                </c:pt>
                <c:pt idx="2">
                  <c:v>9.8800000000000013E-2</c:v>
                </c:pt>
                <c:pt idx="3">
                  <c:v>0.1002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16-4D63-BCC0-A5328FA5D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56095"/>
        <c:axId val="439550335"/>
      </c:lineChart>
      <c:lineChart>
        <c:grouping val="standard"/>
        <c:varyColors val="0"/>
        <c:ser>
          <c:idx val="1"/>
          <c:order val="1"/>
          <c:tx>
            <c:strRef>
              <c:f>PIB_Corp_Chile!$I$36</c:f>
              <c:strCache>
                <c:ptCount val="1"/>
                <c:pt idx="0">
                  <c:v>Net Leverage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PIB_Corp_Chile!$J$34:$M$34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PIB_Corp_Chile!$J$36:$M$36</c:f>
              <c:numCache>
                <c:formatCode>#,##0.0"x"_)</c:formatCode>
                <c:ptCount val="4"/>
                <c:pt idx="0">
                  <c:v>2.12</c:v>
                </c:pt>
                <c:pt idx="1">
                  <c:v>1.9600000000000002</c:v>
                </c:pt>
                <c:pt idx="2">
                  <c:v>1.8</c:v>
                </c:pt>
                <c:pt idx="3">
                  <c:v>1.6199999999999999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16-4D63-BCC0-A5328FA5D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44575"/>
        <c:axId val="439545535"/>
      </c:lineChart>
      <c:catAx>
        <c:axId val="4395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0335"/>
        <c:crosses val="autoZero"/>
        <c:auto val="1"/>
        <c:lblAlgn val="ctr"/>
        <c:lblOffset val="100"/>
        <c:noMultiLvlLbl val="0"/>
      </c:catAx>
      <c:valAx>
        <c:axId val="439550335"/>
        <c:scaling>
          <c:orientation val="minMax"/>
          <c:max val="0.12000000000000001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6095"/>
        <c:crosses val="autoZero"/>
        <c:crossBetween val="between"/>
      </c:valAx>
      <c:valAx>
        <c:axId val="439545535"/>
        <c:scaling>
          <c:orientation val="minMax"/>
        </c:scaling>
        <c:delete val="0"/>
        <c:axPos val="r"/>
        <c:numFmt formatCode="#,##0.0&quot;x&quot;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44575"/>
        <c:crosses val="max"/>
        <c:crossBetween val="between"/>
      </c:valAx>
      <c:catAx>
        <c:axId val="43954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545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PIB_Corp_Brasil!$B$4</c:f>
              <c:strCache>
                <c:ptCount val="1"/>
                <c:pt idx="0">
                  <c:v>PIB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PIB_Corp_Brasil!$C$3:$K$3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</c:numCache>
            </c:numRef>
          </c:cat>
          <c:val>
            <c:numRef>
              <c:f>PIB_Corp_Brasil!$C$4:$K$4</c:f>
              <c:numCache>
                <c:formatCode>0.0</c:formatCode>
                <c:ptCount val="9"/>
                <c:pt idx="0">
                  <c:v>-3.57</c:v>
                </c:pt>
                <c:pt idx="1">
                  <c:v>5.0999999999999996</c:v>
                </c:pt>
                <c:pt idx="2">
                  <c:v>3.12</c:v>
                </c:pt>
                <c:pt idx="3">
                  <c:v>3.25</c:v>
                </c:pt>
                <c:pt idx="4">
                  <c:v>2.98</c:v>
                </c:pt>
                <c:pt idx="5">
                  <c:v>2.59</c:v>
                </c:pt>
                <c:pt idx="6">
                  <c:v>1.64</c:v>
                </c:pt>
                <c:pt idx="7">
                  <c:v>2.4500000000000002</c:v>
                </c:pt>
                <c:pt idx="8">
                  <c:v>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9-4029-86AC-D4BF1B089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14831"/>
        <c:axId val="521513391"/>
      </c:barChart>
      <c:catAx>
        <c:axId val="52151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3391"/>
        <c:crosses val="autoZero"/>
        <c:auto val="1"/>
        <c:lblAlgn val="ctr"/>
        <c:lblOffset val="100"/>
        <c:noMultiLvlLbl val="0"/>
      </c:catAx>
      <c:valAx>
        <c:axId val="52151339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Consumer</a:t>
            </a:r>
            <a:r>
              <a:rPr lang="es-CO" baseline="0"/>
              <a:t> EBITDA Margin &amp; Net Leverage Average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PIB_Corp_Brasil!$I$42</c:f>
              <c:strCache>
                <c:ptCount val="1"/>
                <c:pt idx="0">
                  <c:v>EBITDA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PIB_Corp_Brasil!$J$41:$M$41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PIB_Corp_Brasil!$J$42:$M$42</c:f>
              <c:numCache>
                <c:formatCode>0.0%</c:formatCode>
                <c:ptCount val="4"/>
                <c:pt idx="0">
                  <c:v>0.16346153846153846</c:v>
                </c:pt>
                <c:pt idx="1">
                  <c:v>0.16569230769230767</c:v>
                </c:pt>
                <c:pt idx="2">
                  <c:v>0.1666923076923077</c:v>
                </c:pt>
                <c:pt idx="3">
                  <c:v>0.16807692307692307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B-4ACB-ACD2-8ABC1E1B1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56095"/>
        <c:axId val="439550335"/>
      </c:lineChart>
      <c:lineChart>
        <c:grouping val="standard"/>
        <c:varyColors val="0"/>
        <c:ser>
          <c:idx val="1"/>
          <c:order val="1"/>
          <c:tx>
            <c:strRef>
              <c:f>PIB_Corp_Brasil!$I$43</c:f>
              <c:strCache>
                <c:ptCount val="1"/>
                <c:pt idx="0">
                  <c:v>Net Leverage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PIB_Corp_Brasil!$J$41:$M$41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PIB_Corp_Brasil!$J$43:$M$43</c:f>
              <c:numCache>
                <c:formatCode>#,##0.0"x"_)</c:formatCode>
                <c:ptCount val="4"/>
                <c:pt idx="0">
                  <c:v>3.2076923076923074</c:v>
                </c:pt>
                <c:pt idx="1">
                  <c:v>2.7692307692307692</c:v>
                </c:pt>
                <c:pt idx="2">
                  <c:v>2.523076923076923</c:v>
                </c:pt>
                <c:pt idx="3">
                  <c:v>2.2692307692307687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B-4ACB-ACD2-8ABC1E1B1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44575"/>
        <c:axId val="439545535"/>
      </c:lineChart>
      <c:catAx>
        <c:axId val="4395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0335"/>
        <c:crosses val="autoZero"/>
        <c:auto val="1"/>
        <c:lblAlgn val="ctr"/>
        <c:lblOffset val="100"/>
        <c:noMultiLvlLbl val="0"/>
      </c:catAx>
      <c:valAx>
        <c:axId val="439550335"/>
        <c:scaling>
          <c:orientation val="minMax"/>
          <c:max val="0.17"/>
          <c:min val="0.16000000000000003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6095"/>
        <c:crosses val="autoZero"/>
        <c:crossBetween val="between"/>
      </c:valAx>
      <c:valAx>
        <c:axId val="439545535"/>
        <c:scaling>
          <c:orientation val="minMax"/>
          <c:min val="1.5"/>
        </c:scaling>
        <c:delete val="0"/>
        <c:axPos val="r"/>
        <c:numFmt formatCode="#,##0.0&quot;x&quot;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44575"/>
        <c:crosses val="max"/>
        <c:crossBetween val="between"/>
      </c:valAx>
      <c:catAx>
        <c:axId val="43954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545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PIB_Corp_Peru!$B$4</c:f>
              <c:strCache>
                <c:ptCount val="1"/>
                <c:pt idx="0">
                  <c:v>PIB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3.39188305977611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A5-4050-980E-492A712652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PIB_Corp_Peru!$C$3:$K$3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</c:numCache>
            </c:numRef>
          </c:cat>
          <c:val>
            <c:numRef>
              <c:f>PIB_Corp_Peru!$C$4:$K$4</c:f>
              <c:numCache>
                <c:formatCode>0.0</c:formatCode>
                <c:ptCount val="9"/>
                <c:pt idx="0">
                  <c:v>-10.94</c:v>
                </c:pt>
                <c:pt idx="1">
                  <c:v>13.42</c:v>
                </c:pt>
                <c:pt idx="2">
                  <c:v>2.82</c:v>
                </c:pt>
                <c:pt idx="3">
                  <c:v>-0.35</c:v>
                </c:pt>
                <c:pt idx="4">
                  <c:v>3.51</c:v>
                </c:pt>
                <c:pt idx="5">
                  <c:v>3.44</c:v>
                </c:pt>
                <c:pt idx="6">
                  <c:v>2.79</c:v>
                </c:pt>
                <c:pt idx="7">
                  <c:v>2.89</c:v>
                </c:pt>
                <c:pt idx="8">
                  <c:v>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5-4050-980E-492A7126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14831"/>
        <c:axId val="521513391"/>
      </c:barChart>
      <c:catAx>
        <c:axId val="52151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3391"/>
        <c:crosses val="autoZero"/>
        <c:auto val="1"/>
        <c:lblAlgn val="ctr"/>
        <c:lblOffset val="100"/>
        <c:noMultiLvlLbl val="0"/>
      </c:catAx>
      <c:valAx>
        <c:axId val="52151339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Consumer</a:t>
            </a:r>
            <a:r>
              <a:rPr lang="es-CO" baseline="0"/>
              <a:t> EBITDA Margin &amp; Net Leverage Average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PIB_Corp_Peru!$I$35</c:f>
              <c:strCache>
                <c:ptCount val="1"/>
                <c:pt idx="0">
                  <c:v>EBITDA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PIB_Corp_Peru!$J$34:$M$34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PIB_Corp_Peru!$J$35:$M$35</c:f>
              <c:numCache>
                <c:formatCode>0.0%</c:formatCode>
                <c:ptCount val="4"/>
                <c:pt idx="0">
                  <c:v>9.8800000000000013E-2</c:v>
                </c:pt>
                <c:pt idx="1">
                  <c:v>9.760000000000002E-2</c:v>
                </c:pt>
                <c:pt idx="2">
                  <c:v>9.8800000000000013E-2</c:v>
                </c:pt>
                <c:pt idx="3">
                  <c:v>0.1002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9-4E2D-9B60-F84209E10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56095"/>
        <c:axId val="439550335"/>
      </c:lineChart>
      <c:lineChart>
        <c:grouping val="standard"/>
        <c:varyColors val="0"/>
        <c:ser>
          <c:idx val="1"/>
          <c:order val="1"/>
          <c:tx>
            <c:strRef>
              <c:f>PIB_Corp_Peru!$I$36</c:f>
              <c:strCache>
                <c:ptCount val="1"/>
                <c:pt idx="0">
                  <c:v>Net Leverage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PIB_Corp_Peru!$J$34:$M$34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PIB_Corp_Peru!$J$36:$M$36</c:f>
              <c:numCache>
                <c:formatCode>#,##0.0"x"_)</c:formatCode>
                <c:ptCount val="4"/>
                <c:pt idx="0">
                  <c:v>2.12</c:v>
                </c:pt>
                <c:pt idx="1">
                  <c:v>1.9600000000000002</c:v>
                </c:pt>
                <c:pt idx="2">
                  <c:v>1.8</c:v>
                </c:pt>
                <c:pt idx="3">
                  <c:v>1.6199999999999999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9-4E2D-9B60-F84209E10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44575"/>
        <c:axId val="439545535"/>
      </c:lineChart>
      <c:catAx>
        <c:axId val="4395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0335"/>
        <c:crosses val="autoZero"/>
        <c:auto val="1"/>
        <c:lblAlgn val="ctr"/>
        <c:lblOffset val="100"/>
        <c:noMultiLvlLbl val="0"/>
      </c:catAx>
      <c:valAx>
        <c:axId val="439550335"/>
        <c:scaling>
          <c:orientation val="minMax"/>
          <c:max val="0.12000000000000001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6095"/>
        <c:crosses val="autoZero"/>
        <c:crossBetween val="between"/>
      </c:valAx>
      <c:valAx>
        <c:axId val="439545535"/>
        <c:scaling>
          <c:orientation val="minMax"/>
        </c:scaling>
        <c:delete val="0"/>
        <c:axPos val="r"/>
        <c:numFmt formatCode="#,##0.0&quot;x&quot;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44575"/>
        <c:crosses val="max"/>
        <c:crossBetween val="between"/>
      </c:valAx>
      <c:catAx>
        <c:axId val="43954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545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263525</xdr:colOff>
      <xdr:row>5</xdr:row>
      <xdr:rowOff>10390</xdr:rowOff>
    </xdr:from>
    <xdr:to>
      <xdr:col>20</xdr:col>
      <xdr:colOff>234965</xdr:colOff>
      <xdr:row>23</xdr:row>
      <xdr:rowOff>173660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4</xdr:row>
      <xdr:rowOff>178665</xdr:rowOff>
    </xdr:from>
    <xdr:to>
      <xdr:col>19</xdr:col>
      <xdr:colOff>164755</xdr:colOff>
      <xdr:row>23</xdr:row>
      <xdr:rowOff>151435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200025</xdr:colOff>
      <xdr:row>4</xdr:row>
      <xdr:rowOff>153265</xdr:rowOff>
    </xdr:from>
    <xdr:to>
      <xdr:col>20</xdr:col>
      <xdr:colOff>171465</xdr:colOff>
      <xdr:row>23</xdr:row>
      <xdr:rowOff>126035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5</xdr:row>
      <xdr:rowOff>16740</xdr:rowOff>
    </xdr:from>
    <xdr:to>
      <xdr:col>19</xdr:col>
      <xdr:colOff>266355</xdr:colOff>
      <xdr:row>23</xdr:row>
      <xdr:rowOff>170485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425450</xdr:colOff>
      <xdr:row>4</xdr:row>
      <xdr:rowOff>92940</xdr:rowOff>
    </xdr:from>
    <xdr:to>
      <xdr:col>21</xdr:col>
      <xdr:colOff>400065</xdr:colOff>
      <xdr:row>23</xdr:row>
      <xdr:rowOff>56185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431799</xdr:colOff>
      <xdr:row>23</xdr:row>
      <xdr:rowOff>163512</xdr:rowOff>
    </xdr:from>
    <xdr:to>
      <xdr:col>21</xdr:col>
      <xdr:colOff>441324</xdr:colOff>
      <xdr:row>42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55A2130-9D17-83A5-F63B-82EC83DBA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66675</xdr:colOff>
      <xdr:row>12</xdr:row>
      <xdr:rowOff>0</xdr:rowOff>
    </xdr:from>
    <xdr:to>
      <xdr:col>35</xdr:col>
      <xdr:colOff>34940</xdr:colOff>
      <xdr:row>30</xdr:row>
      <xdr:rowOff>163270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3EF120F9-6AEA-4536-B164-6A6221EA8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215900</xdr:colOff>
      <xdr:row>5</xdr:row>
      <xdr:rowOff>19915</xdr:rowOff>
    </xdr:from>
    <xdr:to>
      <xdr:col>19</xdr:col>
      <xdr:colOff>190515</xdr:colOff>
      <xdr:row>23</xdr:row>
      <xdr:rowOff>180010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88898</xdr:colOff>
      <xdr:row>4</xdr:row>
      <xdr:rowOff>11111</xdr:rowOff>
    </xdr:from>
    <xdr:to>
      <xdr:col>19</xdr:col>
      <xdr:colOff>190499</xdr:colOff>
      <xdr:row>29</xdr:row>
      <xdr:rowOff>133349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B62521-5FD4-1858-CD1C-E5F445DB7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5</xdr:row>
      <xdr:rowOff>11113</xdr:rowOff>
    </xdr:from>
    <xdr:to>
      <xdr:col>10</xdr:col>
      <xdr:colOff>523875</xdr:colOff>
      <xdr:row>19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64AEA0-C73E-B9EA-6949-CC6B815E7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552449</xdr:colOff>
      <xdr:row>35</xdr:row>
      <xdr:rowOff>1586</xdr:rowOff>
    </xdr:from>
    <xdr:to>
      <xdr:col>16</xdr:col>
      <xdr:colOff>488949</xdr:colOff>
      <xdr:row>53</xdr:row>
      <xdr:rowOff>146049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433C84-6A22-477E-B682-76FEB22DC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5</xdr:row>
      <xdr:rowOff>11113</xdr:rowOff>
    </xdr:from>
    <xdr:to>
      <xdr:col>10</xdr:col>
      <xdr:colOff>523875</xdr:colOff>
      <xdr:row>19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A05790-0E8C-4436-99FD-7D5EB604F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552449</xdr:colOff>
      <xdr:row>37</xdr:row>
      <xdr:rowOff>1586</xdr:rowOff>
    </xdr:from>
    <xdr:to>
      <xdr:col>16</xdr:col>
      <xdr:colOff>488949</xdr:colOff>
      <xdr:row>55</xdr:row>
      <xdr:rowOff>146049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C36BD0-D62C-4B7E-B0A2-B9CB688D5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5</xdr:row>
      <xdr:rowOff>11113</xdr:rowOff>
    </xdr:from>
    <xdr:to>
      <xdr:col>10</xdr:col>
      <xdr:colOff>523875</xdr:colOff>
      <xdr:row>19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B01662-B136-4093-AEFA-CDE80EFAD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552449</xdr:colOff>
      <xdr:row>37</xdr:row>
      <xdr:rowOff>1586</xdr:rowOff>
    </xdr:from>
    <xdr:to>
      <xdr:col>16</xdr:col>
      <xdr:colOff>488949</xdr:colOff>
      <xdr:row>55</xdr:row>
      <xdr:rowOff>146049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A75FAE-968A-4D0E-AC1F-584F93606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5</xdr:row>
      <xdr:rowOff>11113</xdr:rowOff>
    </xdr:from>
    <xdr:to>
      <xdr:col>10</xdr:col>
      <xdr:colOff>523875</xdr:colOff>
      <xdr:row>19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ADF2F4-62E0-4312-A32D-42A2C04D8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552449</xdr:colOff>
      <xdr:row>44</xdr:row>
      <xdr:rowOff>1586</xdr:rowOff>
    </xdr:from>
    <xdr:to>
      <xdr:col>16</xdr:col>
      <xdr:colOff>488949</xdr:colOff>
      <xdr:row>62</xdr:row>
      <xdr:rowOff>146049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B329F3-391E-449B-BFB6-216DBDD44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5</xdr:row>
      <xdr:rowOff>11113</xdr:rowOff>
    </xdr:from>
    <xdr:to>
      <xdr:col>10</xdr:col>
      <xdr:colOff>523875</xdr:colOff>
      <xdr:row>19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78832D-8588-41E6-B89E-F7ED495CB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552449</xdr:colOff>
      <xdr:row>37</xdr:row>
      <xdr:rowOff>1586</xdr:rowOff>
    </xdr:from>
    <xdr:to>
      <xdr:col>16</xdr:col>
      <xdr:colOff>488949</xdr:colOff>
      <xdr:row>55</xdr:row>
      <xdr:rowOff>146049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A93E54-A591-4667-98E9-5738BD495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Sura">
  <a:themeElements>
    <a:clrScheme name="SURA INVESTMENTS">
      <a:dk1>
        <a:srgbClr val="161618"/>
      </a:dk1>
      <a:lt1>
        <a:srgbClr val="FFFFFF"/>
      </a:lt1>
      <a:dk2>
        <a:srgbClr val="24272A"/>
      </a:dk2>
      <a:lt2>
        <a:srgbClr val="EFEFEF"/>
      </a:lt2>
      <a:accent1>
        <a:srgbClr val="0A2CCE"/>
      </a:accent1>
      <a:accent2>
        <a:srgbClr val="FFE945"/>
      </a:accent2>
      <a:accent3>
        <a:srgbClr val="59646E"/>
      </a:accent3>
      <a:accent4>
        <a:srgbClr val="98A3AE"/>
      </a:accent4>
      <a:accent5>
        <a:srgbClr val="000000"/>
      </a:accent5>
      <a:accent6>
        <a:srgbClr val="24272A"/>
      </a:accent6>
      <a:hlink>
        <a:srgbClr val="0B2CCE"/>
      </a:hlink>
      <a:folHlink>
        <a:srgbClr val="717171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33A0"/>
        </a:solidFill>
        <a:ln>
          <a:noFill/>
        </a:ln>
        <a:effectLst/>
      </a:spPr>
      <a:bodyPr anchor="ctr"/>
      <a:lstStyle>
        <a:defPPr algn="ctr" defTabSz="608853">
          <a:defRPr/>
        </a:defPPr>
      </a:lstStyle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>
        <a:ln>
          <a:solidFill>
            <a:srgbClr val="3190CF"/>
          </a:solidFill>
        </a:ln>
        <a:effectLst/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none" rtlCol="0">
        <a:spAutoFit/>
      </a:bodyPr>
      <a:lstStyle>
        <a:defPPr algn="ctr">
          <a:defRPr dirty="0" err="1" smtClean="0">
            <a:solidFill>
              <a:srgbClr val="686968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URA_TEMA" id="{1C9A749D-2F70-E943-BAD5-40C0A7CFC650}" vid="{1E3E52B1-948C-B04E-9C51-9CE290CBFDC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s://www.inegi.org.mx/temas/inpc/" TargetMode="External"/><Relationship Id="rId1" Type="http://schemas.openxmlformats.org/officeDocument/2006/relationships/hyperlink" Target="https://www.bls.gov/charts/consumer-price-index/consumer-price-index-by-category-line-chart.ht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nxico.org.mx/SieInternet/consultarDirectorioInternetAction.do?accion=consultarCuadro&amp;idCuadro=CF101&amp;sector=18&amp;locale=es" TargetMode="External"/><Relationship Id="rId2" Type="http://schemas.openxmlformats.org/officeDocument/2006/relationships/hyperlink" Target="https://suameca.banrep.gov.co/estadisticas-economicas/informacionSerie/59/tasas_interes_politica_monetaria" TargetMode="External"/><Relationship Id="rId1" Type="http://schemas.openxmlformats.org/officeDocument/2006/relationships/hyperlink" Target="https://fred.stlouisfed.org/series/fedfunds" TargetMode="External"/><Relationship Id="rId4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egi.org.mx/contenidos/programas/enco/tabulados/enco_b_indicador_de_confianza_del_consumidor.xlsx" TargetMode="External"/><Relationship Id="rId18" Type="http://schemas.openxmlformats.org/officeDocument/2006/relationships/hyperlink" Target="https://si3.bcentral.cl/estadisticas/Principal1/excel/CCNN/IMACEC/Excel/IMACEC.xlsx" TargetMode="External"/><Relationship Id="rId26" Type="http://schemas.openxmlformats.org/officeDocument/2006/relationships/hyperlink" Target="https://si3.bcentral.cl/siete/ES/Siete/Cuadro/CAP_BDP/MN_EXP_EC11/EXE_IMCE_TOTAL" TargetMode="External"/><Relationship Id="rId3" Type="http://schemas.openxmlformats.org/officeDocument/2006/relationships/hyperlink" Target="https://www.inegi.org.mx/contenidos/programas/igae/2018/tabulados/ori/IGAE_2.xlsx" TargetMode="External"/><Relationship Id="rId21" Type="http://schemas.openxmlformats.org/officeDocument/2006/relationships/hyperlink" Target="https://www.ibge.gov.br/estatisticas/economicas/comercio/9227-pesquisa-mensal-de-comercio.html" TargetMode="External"/><Relationship Id="rId34" Type="http://schemas.openxmlformats.org/officeDocument/2006/relationships/hyperlink" Target="https://www.inegi.org.mx/temas/inpc/" TargetMode="External"/><Relationship Id="rId7" Type="http://schemas.openxmlformats.org/officeDocument/2006/relationships/hyperlink" Target="https://www.inegi.org.mx/app/tabulados/interactivos/?px=EMEC_NACIONAL_0&amp;bd=EMEC" TargetMode="External"/><Relationship Id="rId12" Type="http://schemas.openxmlformats.org/officeDocument/2006/relationships/hyperlink" Target="https://www.repository.fedesarrollo.org.co/handle/11445/36" TargetMode="External"/><Relationship Id="rId17" Type="http://schemas.openxmlformats.org/officeDocument/2006/relationships/hyperlink" Target="https://antad.net/" TargetMode="External"/><Relationship Id="rId25" Type="http://schemas.openxmlformats.org/officeDocument/2006/relationships/hyperlink" Target="https://si3.bcentral.cl/siete/ES/Siete/Cuadro/CAP_BDP/MN_EXP_EC11/EXE_IMCE_TOTAL" TargetMode="External"/><Relationship Id="rId33" Type="http://schemas.openxmlformats.org/officeDocument/2006/relationships/hyperlink" Target="https://www.dane.gov.co/index.php/estadisticas-por-tema/precios-y-costos/indice-de-precios-al-consumidor-ipc" TargetMode="External"/><Relationship Id="rId2" Type="http://schemas.openxmlformats.org/officeDocument/2006/relationships/hyperlink" Target="https://www.dane.gov.co/index.php/estadisticas-por-tema/cuentas-nacionales/indicador-de-seguimiento-a-la-economia-ise" TargetMode="External"/><Relationship Id="rId16" Type="http://schemas.openxmlformats.org/officeDocument/2006/relationships/hyperlink" Target="https://www.inegi.org.mx/temas/inpc/" TargetMode="External"/><Relationship Id="rId20" Type="http://schemas.openxmlformats.org/officeDocument/2006/relationships/hyperlink" Target="https://www.inegi.org.mx/contenidos/programas/igae/2018/tabulados/ori/IGAE_2.xlsx" TargetMode="External"/><Relationship Id="rId29" Type="http://schemas.openxmlformats.org/officeDocument/2006/relationships/hyperlink" Target="https://si3.bcentral.cl/Siete/ES/Siete/Cuadro/CAP_EXP_ECO/MN_EXP_EC11/IPSOS_ICC_M/638427307428609836%20(el%20segundo%20link%20que%20pasaste,%20el%20primero%20est&#225;%20roto)" TargetMode="External"/><Relationship Id="rId1" Type="http://schemas.openxmlformats.org/officeDocument/2006/relationships/hyperlink" Target="https://si3.bcentral.cl/estadisticas/Principal1/excel/CCNN/IMACEC/Excel/IMACEC.xlsx" TargetMode="External"/><Relationship Id="rId6" Type="http://schemas.openxmlformats.org/officeDocument/2006/relationships/hyperlink" Target="https://www.dane.gov.co/index.php/estadisticas-por-tema/comercio-interno/encuesta-mensual-de-comercio-emc" TargetMode="External"/><Relationship Id="rId11" Type="http://schemas.openxmlformats.org/officeDocument/2006/relationships/hyperlink" Target="https://si3.bcentral.cl/Siete/ES/Siete/Cuadro/CAP_EXP_ECO/MN_EXP_EC11/IPSOS_ICC_M/638427307428609836" TargetMode="External"/><Relationship Id="rId24" Type="http://schemas.openxmlformats.org/officeDocument/2006/relationships/hyperlink" Target="https://www.inegi.org.mx/app/tabulados/interactivos/?px=EMEC_NACIONAL_0&amp;bd=EMEC" TargetMode="External"/><Relationship Id="rId32" Type="http://schemas.openxmlformats.org/officeDocument/2006/relationships/hyperlink" Target="https://si3.bcentral.cl/Siete/ES/Siete/Cuadro/CAP_PRECIOS/MN_CAP_PRECIOS/IPC_VAR_ANUAL_HIST_NEW" TargetMode="External"/><Relationship Id="rId5" Type="http://schemas.openxmlformats.org/officeDocument/2006/relationships/hyperlink" Target="https://www.ine.gob.cl/docs/default-source/actividad-mensual-del-comercio/cuadros-estadisticos/base-promedio-a%C3%B1o-2018-100/series-mensuales-desde-enero-de-2018-a-la-fecha.xlsx" TargetMode="External"/><Relationship Id="rId15" Type="http://schemas.openxmlformats.org/officeDocument/2006/relationships/hyperlink" Target="https://www.dane.gov.co/index.php/estadisticas-por-tema/precios-y-costos/indice-de-precios-al-consumidor-ipc" TargetMode="External"/><Relationship Id="rId23" Type="http://schemas.openxmlformats.org/officeDocument/2006/relationships/hyperlink" Target="https://www.dane.gov.co/index.php/estadisticas-por-tema/comercio-interno/encuesta-mensual-de-comercio-emc" TargetMode="External"/><Relationship Id="rId28" Type="http://schemas.openxmlformats.org/officeDocument/2006/relationships/hyperlink" Target="https://www.inegi.org.mx/app/tabulados/default.html?nc=100100061&amp;idrt=28&amp;opc=t" TargetMode="External"/><Relationship Id="rId10" Type="http://schemas.openxmlformats.org/officeDocument/2006/relationships/hyperlink" Target="https://www.inegi.org.mx/app/tabulados/default.html?nc=100100061&amp;idrt=28&amp;opc=t" TargetMode="External"/><Relationship Id="rId19" Type="http://schemas.openxmlformats.org/officeDocument/2006/relationships/hyperlink" Target="https://www.dane.gov.co/index.php/estadisticas-por-tema/cuentas-nacionales/indicador-de-seguimiento-a-la-economia-ise" TargetMode="External"/><Relationship Id="rId31" Type="http://schemas.openxmlformats.org/officeDocument/2006/relationships/hyperlink" Target="https://www.inegi.org.mx/contenidos/programas/enco/tabulados/enco_b_indicador_de_confianza_del_consumidor.xlsx" TargetMode="External"/><Relationship Id="rId4" Type="http://schemas.openxmlformats.org/officeDocument/2006/relationships/hyperlink" Target="https://www.ibge.gov.br/estatisticas/economicas/comercio/9227-pesquisa-mensal-de-comercio.html" TargetMode="External"/><Relationship Id="rId9" Type="http://schemas.openxmlformats.org/officeDocument/2006/relationships/hyperlink" Target="https://www.repository.fedesarrollo.org.co/handle/11445/37" TargetMode="External"/><Relationship Id="rId14" Type="http://schemas.openxmlformats.org/officeDocument/2006/relationships/hyperlink" Target="https://si3.bcentral.cl/Siete/ES/Siete/Cuadro/CAP_PRECIOS/MN_CAP_PRECIOS/IPC_VAR_ANUAL_HIST_NEW" TargetMode="External"/><Relationship Id="rId22" Type="http://schemas.openxmlformats.org/officeDocument/2006/relationships/hyperlink" Target="https://www.ine.gob.cl/docs/default-source/actividad-mensual-del-comercio/cuadros-estadisticos/base-promedio-a&#241;o-2018-100/series-mensuales-desde-enero-de-2018-a-la-fecha.xlsx" TargetMode="External"/><Relationship Id="rId27" Type="http://schemas.openxmlformats.org/officeDocument/2006/relationships/hyperlink" Target="https://www.repository.fedesarrollo.org.co/handle/11445/37" TargetMode="External"/><Relationship Id="rId30" Type="http://schemas.openxmlformats.org/officeDocument/2006/relationships/hyperlink" Target="https://www.repository.fedesarrollo.org.co/handle/11445/36" TargetMode="External"/><Relationship Id="rId8" Type="http://schemas.openxmlformats.org/officeDocument/2006/relationships/hyperlink" Target="https://www.portaldaindustria.com.br/estatisticas/icei-indice-de-confianca-do-empresario-industrial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'1.0' encoding='UTF-8' standalone='yes'?>
<Relationships xmlns="http://schemas.openxmlformats.org/package/2006/relationships"><Relationship Id="rId1" Type="http://schemas.openxmlformats.org/officeDocument/2006/relationships/hyperlink" Target="https://rankia.com.br/ipca-setembro-2026-expectativa-0-60-cenarios-tesouro-ipca/" TargetMode="External"/><Relationship Id="rId2" Type="http://schemas.openxmlformats.org/officeDocument/2006/relationships/hyperlink" Target="https://www.elciudadano.com/?p=1177827" TargetMode="External"/><Relationship Id="rId3" Type="http://schemas.openxmlformats.org/officeDocument/2006/relationships/hyperlink" Target="https://www.noticiasrcn.com/economia/inflacion-anual-en-colombia-llego-al-6-29-en-septiembre-1069516" TargetMode="External"/><Relationship Id="rId4" Type="http://schemas.openxmlformats.org/officeDocument/2006/relationships/hyperlink" Target="https://incp.org.co/?p=136856" TargetMode="External"/><Relationship Id="rId5" Type="http://schemas.openxmlformats.org/officeDocument/2006/relationships/hyperlink" Target="https://www.ejecentral.com.mx/aumenta-1-7-en-agosto-la-actividad-economica-en-mexico" TargetMode="External"/><Relationship Id="rId6" Type="http://schemas.openxmlformats.org/officeDocument/2006/relationships/hyperlink" Target="https://mundoejecutivocdmx.com/mundo-economico/inflacion-en-mexico-repunta-en-septiembre-que-decidira-banxico-sobre-la-tasa-de-interes/" TargetMode="External"/><Relationship Id="rId7" Type="http://schemas.openxmlformats.org/officeDocument/2006/relationships/hyperlink" Target="https://www.bloomberglinea.com/latinoamerica/peru/economia-de-peru-crece-323-en-agosto-y-se-acerca-a-la-meta-anual-del-banco-centr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51"/>
  <sheetViews>
    <sheetView showGridLines="0" zoomScaleNormal="100" workbookViewId="0" tabSelected="1">
      <selection activeCell="A18" sqref="A18"/>
    </sheetView>
  </sheetViews>
  <sheetFormatPr baseColWidth="10" defaultColWidth="8.7265625" defaultRowHeight="16" x14ac:dyDescent="0.4"/>
  <cols>
    <col min="1" max="1" width="3" style="43" customWidth="1"/>
    <col min="2" max="2" width="28" style="43" customWidth="1"/>
    <col min="3" max="3" width="50" style="43" customWidth="1"/>
    <col min="4" max="4" width="25" style="43" customWidth="1"/>
    <col min="5" max="16384" width="8.7265625" style="43"/>
  </cols>
  <sheetData>
    <row r="2" spans="2:4" ht="26.25" customHeight="1" x14ac:dyDescent="0.7">
      <c r="B2" s="42" t="s">
        <v>0</v>
      </c>
    </row>
    <row r="3" spans="2:4" ht="15" customHeight="1" x14ac:dyDescent="0.4">
      <c r="B3" s="44" t="s">
        <v>1</v>
      </c>
    </row>
    <row r="4" spans="2:4" ht="15" customHeight="1" x14ac:dyDescent="0.4">
      <c r="B4" s="45" t="s">
        <v>625</v>
      </c>
    </row>
    <row r="5" spans="2:4" ht="15" customHeight="1" x14ac:dyDescent="0.4">
      <c r="B5" s="45" t="s">
        <v>3</v>
      </c>
    </row>
    <row r="7" spans="2:4" ht="15" customHeight="1" x14ac:dyDescent="0.4">
      <c r="B7" s="46" t="s">
        <v>4</v>
      </c>
    </row>
    <row r="8" spans="2:4" ht="15" customHeight="1" x14ac:dyDescent="0.4">
      <c r="B8" s="47" t="s">
        <v>5</v>
      </c>
      <c r="C8" s="48" t="s">
        <v>6</v>
      </c>
    </row>
    <row r="9" spans="2:4" ht="15" customHeight="1" x14ac:dyDescent="0.4">
      <c r="B9" s="49" t="s">
        <v>7</v>
      </c>
      <c r="C9" s="48" t="s">
        <v>632</v>
      </c>
    </row>
    <row r="10" spans="2:4" ht="15" customHeight="1" x14ac:dyDescent="0.4">
      <c r="B10" s="50" t="s">
        <v>9</v>
      </c>
      <c r="C10" s="48" t="s">
        <v>10</v>
      </c>
    </row>
    <row r="11" spans="2:4" ht="15" customHeight="1" x14ac:dyDescent="0.4">
      <c r="B11" s="51" t="s">
        <v>11</v>
      </c>
      <c r="C11" s="48" t="s">
        <v>12</v>
      </c>
    </row>
    <row r="12" spans="2:4" ht="15" customHeight="1" x14ac:dyDescent="0.4">
      <c r="B12" s="52" t="s">
        <v>13</v>
      </c>
      <c r="C12" s="48" t="s">
        <v>14</v>
      </c>
    </row>
    <row r="13" spans="2:4" ht="15" customHeight="1" x14ac:dyDescent="0.4">
      <c r="B13" s="52" t="s">
        <v>15</v>
      </c>
      <c r="C13" s="48" t="s">
        <v>16</v>
      </c>
    </row>
    <row r="14">
      <c r="B14" s="112" t="s">
        <v>633</v>
      </c>
      <c r="C14" s="48" t="s">
        <v>634</v>
      </c>
    </row>
    <row r="16" spans="2:4" ht="15" customHeight="1" x14ac:dyDescent="0.4">
      <c r="B16" s="53" t="s">
        <v>23</v>
      </c>
      <c r="C16" s="53"/>
      <c r="D16" s="53"/>
    </row>
    <row r="17" spans="2:7" ht="15" customHeight="1" x14ac:dyDescent="0.4">
      <c r="B17" s="54" t="s">
        <v>626</v>
      </c>
      <c r="C17" s="54"/>
      <c r="D17" s="54"/>
    </row>
    <row r="18" spans="2:7" ht="15" customHeight="1" x14ac:dyDescent="0.4">
      <c r="B18" s="54" t="s">
        <v>627</v>
      </c>
      <c r="C18" s="54"/>
      <c r="D18" s="54"/>
    </row>
    <row r="19" spans="2:7" ht="15" customHeight="1" x14ac:dyDescent="0.4">
      <c r="B19" s="54" t="s">
        <v>628</v>
      </c>
      <c r="C19" s="54"/>
      <c r="D19" s="54"/>
    </row>
    <row r="20" spans="2:7" ht="15" customHeight="1" x14ac:dyDescent="0.4">
      <c r="B20" s="54" t="s">
        <v>629</v>
      </c>
      <c r="C20" s="54"/>
      <c r="D20" s="54"/>
    </row>
    <row r="21" spans="2:7" ht="15" customHeight="1" x14ac:dyDescent="0.4">
      <c r="B21" s="54" t="s">
        <v>630</v>
      </c>
      <c r="C21" s="54"/>
      <c r="D21" s="54"/>
    </row>
    <row r="22" spans="2:7" ht="15" customHeight="1" x14ac:dyDescent="0.4">
      <c r="B22" s="54" t="s">
        <v>631</v>
      </c>
      <c r="C22" s="54"/>
      <c r="D22" s="54"/>
    </row>
    <row r="23" spans="2:7" ht="15" customHeight="1" x14ac:dyDescent="0.4">
      <c r="B23" s="54"/>
      <c r="C23" s="54"/>
      <c r="D23" s="54"/>
    </row>
    <row r="24" spans="2:7" ht="15" customHeight="1" x14ac:dyDescent="0.4">
      <c r="B24" s="54" t="s">
        <v>30</v>
      </c>
      <c r="C24" s="54"/>
      <c r="D24" s="54"/>
    </row>
    <row r="25" spans="2:7" ht="15" customHeight="1" x14ac:dyDescent="0.4">
      <c r="B25" s="54" t="s">
        <v>31</v>
      </c>
      <c r="C25" s="54"/>
      <c r="D25" s="54"/>
    </row>
    <row r="26" spans="2:7" ht="15" customHeight="1" x14ac:dyDescent="0.4">
      <c r="B26" s="54" t="s">
        <v>32</v>
      </c>
      <c r="C26" s="54"/>
      <c r="D26" s="54"/>
    </row>
    <row r="27" spans="2:7" ht="15" customHeight="1" x14ac:dyDescent="0.4">
      <c r="B27" s="48" t="s">
        <v>33</v>
      </c>
    </row>
    <row r="29" spans="2:7" ht="16.5" x14ac:dyDescent="0.4">
      <c r="B29" s="46" t="s">
        <v>34</v>
      </c>
    </row>
    <row r="31" spans="2:7" x14ac:dyDescent="0.4">
      <c r="B31" s="55" t="s">
        <v>35</v>
      </c>
      <c r="C31" s="55" t="s">
        <v>36</v>
      </c>
      <c r="D31" s="55" t="s">
        <v>37</v>
      </c>
      <c r="E31" s="55" t="s">
        <v>38</v>
      </c>
      <c r="F31" s="55" t="s">
        <v>39</v>
      </c>
      <c r="G31" s="55" t="s">
        <v>40</v>
      </c>
    </row>
    <row r="32" spans="2:7" x14ac:dyDescent="0.4">
      <c r="B32" s="56" t="s">
        <v>17</v>
      </c>
      <c r="C32" s="57" t="s">
        <v>41</v>
      </c>
      <c r="D32" s="57" t="s">
        <v>41</v>
      </c>
      <c r="E32" s="113" t="s">
        <v>352</v>
      </c>
      <c r="F32" s="113" t="s">
        <v>352</v>
      </c>
      <c r="G32" s="57" t="s">
        <v>41</v>
      </c>
    </row>
    <row r="33" spans="2:7" x14ac:dyDescent="0.4">
      <c r="B33" s="56" t="s">
        <v>18</v>
      </c>
      <c r="C33" s="57" t="s">
        <v>41</v>
      </c>
      <c r="D33" s="60" t="s">
        <v>635</v>
      </c>
      <c r="E33" s="113" t="s">
        <v>352</v>
      </c>
      <c r="F33" s="113" t="s">
        <v>352</v>
      </c>
      <c r="G33" s="59" t="s">
        <v>43</v>
      </c>
    </row>
    <row r="34" spans="2:7" x14ac:dyDescent="0.4">
      <c r="B34" s="56" t="s">
        <v>19</v>
      </c>
      <c r="C34" s="57" t="s">
        <v>41</v>
      </c>
      <c r="D34" s="57" t="s">
        <v>41</v>
      </c>
      <c r="E34" s="113" t="s">
        <v>352</v>
      </c>
      <c r="F34" s="113" t="s">
        <v>352</v>
      </c>
      <c r="G34" s="57" t="s">
        <v>41</v>
      </c>
    </row>
    <row r="35" spans="2:7" x14ac:dyDescent="0.4">
      <c r="B35" s="56" t="s">
        <v>20</v>
      </c>
      <c r="C35" s="57" t="s">
        <v>41</v>
      </c>
      <c r="D35" s="57" t="s">
        <v>41</v>
      </c>
      <c r="E35" s="113" t="s">
        <v>352</v>
      </c>
      <c r="F35" s="113" t="s">
        <v>352</v>
      </c>
      <c r="G35" s="59" t="s">
        <v>43</v>
      </c>
    </row>
    <row r="36" spans="2:7" x14ac:dyDescent="0.4">
      <c r="B36" s="56" t="s">
        <v>21</v>
      </c>
      <c r="C36" s="57" t="s">
        <v>41</v>
      </c>
      <c r="D36" s="57" t="s">
        <v>41</v>
      </c>
      <c r="E36" s="57" t="s">
        <v>41</v>
      </c>
      <c r="F36" s="57" t="s">
        <v>41</v>
      </c>
      <c r="G36" s="57" t="s">
        <v>41</v>
      </c>
    </row>
    <row r="37" spans="2:7" x14ac:dyDescent="0.4">
      <c r="B37" s="56" t="s">
        <v>22</v>
      </c>
      <c r="C37" s="59" t="s">
        <v>43</v>
      </c>
      <c r="D37" s="59" t="s">
        <v>43</v>
      </c>
      <c r="E37" s="59" t="s">
        <v>43</v>
      </c>
      <c r="F37" s="60" t="s">
        <v>635</v>
      </c>
      <c r="G37" s="59" t="s">
        <v>43</v>
      </c>
    </row>
    <row r="39" spans="2:7" ht="16.5" x14ac:dyDescent="0.4">
      <c r="B39" s="46" t="s">
        <v>45</v>
      </c>
    </row>
    <row r="41" spans="2:7" x14ac:dyDescent="0.4">
      <c r="B41" s="54" t="s">
        <v>46</v>
      </c>
      <c r="C41" s="54"/>
      <c r="D41" s="54"/>
      <c r="E41" s="54"/>
      <c r="F41" s="54"/>
    </row>
    <row r="42" spans="2:7" x14ac:dyDescent="0.4">
      <c r="B42" s="54" t="s">
        <v>47</v>
      </c>
      <c r="C42" s="54"/>
      <c r="D42" s="54"/>
      <c r="E42" s="54"/>
      <c r="F42" s="54"/>
    </row>
    <row r="43" spans="2:7" x14ac:dyDescent="0.4">
      <c r="B43" s="54" t="s">
        <v>48</v>
      </c>
      <c r="C43" s="54"/>
      <c r="D43" s="54"/>
      <c r="E43" s="54"/>
      <c r="F43" s="54"/>
    </row>
    <row r="44" spans="2:7" x14ac:dyDescent="0.4">
      <c r="B44" s="54" t="s">
        <v>49</v>
      </c>
      <c r="C44" s="54"/>
      <c r="D44" s="54"/>
      <c r="E44" s="54"/>
      <c r="F44" s="54"/>
    </row>
    <row r="45" spans="2:7" x14ac:dyDescent="0.4">
      <c r="B45" s="54" t="s">
        <v>50</v>
      </c>
      <c r="C45" s="54"/>
      <c r="D45" s="54"/>
      <c r="E45" s="54"/>
      <c r="F45" s="54"/>
    </row>
    <row r="46" spans="2:7" x14ac:dyDescent="0.4">
      <c r="B46" s="54" t="s">
        <v>51</v>
      </c>
      <c r="C46" s="54"/>
      <c r="D46" s="54"/>
      <c r="E46" s="54"/>
      <c r="F46" s="54"/>
    </row>
    <row r="47" spans="2:7" x14ac:dyDescent="0.4">
      <c r="B47" s="54" t="s">
        <v>52</v>
      </c>
      <c r="C47" s="54"/>
      <c r="D47" s="54"/>
      <c r="E47" s="54"/>
      <c r="F47" s="54"/>
    </row>
    <row r="48" spans="2:7" x14ac:dyDescent="0.4">
      <c r="B48" s="54" t="s">
        <v>53</v>
      </c>
      <c r="C48" s="54"/>
      <c r="D48" s="54"/>
      <c r="E48" s="54"/>
      <c r="F48" s="54"/>
    </row>
    <row r="49" spans="2:6" x14ac:dyDescent="0.4">
      <c r="B49" s="54" t="s">
        <v>54</v>
      </c>
      <c r="C49" s="54"/>
      <c r="D49" s="54"/>
      <c r="E49" s="54"/>
      <c r="F49" s="54"/>
    </row>
    <row r="50" spans="2:6" x14ac:dyDescent="0.4">
      <c r="B50" s="54" t="s">
        <v>55</v>
      </c>
      <c r="C50" s="54"/>
      <c r="D50" s="54"/>
      <c r="E50" s="54"/>
      <c r="F50" s="54"/>
    </row>
    <row r="51" spans="2:6" x14ac:dyDescent="0.4">
      <c r="B51" s="54" t="s">
        <v>56</v>
      </c>
      <c r="C51" s="54"/>
      <c r="D51" s="54"/>
      <c r="E51" s="54"/>
      <c r="F51" s="54"/>
    </row>
  </sheetData>
  <mergeCells count="22"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41:F41"/>
    <mergeCell ref="B42:F42"/>
    <mergeCell ref="B43:F43"/>
    <mergeCell ref="B44:F44"/>
    <mergeCell ref="B50:F50"/>
    <mergeCell ref="B51:F51"/>
    <mergeCell ref="B45:F45"/>
    <mergeCell ref="B46:F46"/>
    <mergeCell ref="B47:F47"/>
    <mergeCell ref="B48:F48"/>
    <mergeCell ref="B49:F49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96"/>
  <sheetViews>
    <sheetView showGridLines="0" zoomScaleNormal="100" workbookViewId="0">
      <selection activeCell="A19" sqref="A19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7" width="12" customWidth="1"/>
  </cols>
  <sheetData>
    <row r="2" spans="2:7" ht="19.5" customHeight="1" x14ac:dyDescent="0.4">
      <c r="B2" s="62" t="s">
        <v>57</v>
      </c>
    </row>
    <row r="3" spans="2:7" ht="15" customHeight="1" x14ac:dyDescent="0.35">
      <c r="B3" s="1" t="s">
        <v>58</v>
      </c>
    </row>
    <row r="5" spans="2:7" ht="15" customHeight="1" x14ac:dyDescent="0.4">
      <c r="B5" s="67" t="s">
        <v>136</v>
      </c>
      <c r="C5" s="15"/>
      <c r="D5" s="15"/>
      <c r="E5" s="15"/>
      <c r="F5" s="15"/>
      <c r="G5" s="15"/>
    </row>
    <row r="6" spans="2:7" ht="15" customHeight="1" x14ac:dyDescent="0.35">
      <c r="B6" s="84" t="s">
        <v>59</v>
      </c>
      <c r="C6" s="84" t="s">
        <v>60</v>
      </c>
      <c r="D6" s="84" t="s">
        <v>61</v>
      </c>
      <c r="E6" s="84" t="s">
        <v>62</v>
      </c>
      <c r="F6" s="84" t="s">
        <v>63</v>
      </c>
      <c r="G6" s="84" t="s">
        <v>64</v>
      </c>
    </row>
    <row r="7" spans="2:7" ht="15" customHeight="1" x14ac:dyDescent="0.35">
      <c r="B7" s="70" t="s">
        <v>70</v>
      </c>
      <c r="C7" s="16">
        <f>IFERROR(IF(C78="","",C78),"")</f>
        <v>0.022422198465</v>
      </c>
      <c r="D7" s="16">
        <f>IFERROR(IF(D78="","",D78),"")</f>
        <v>0.033</v>
      </c>
      <c r="E7" s="16">
        <f>IFERROR(IF(E78="","",E78),"")</f>
        <v>0.038205433016777306</v>
      </c>
      <c r="F7" s="16">
        <f>IFERROR(IF(F78="","",F78),"")</f>
        <v>0.00819597451214918</v>
      </c>
      <c r="G7" s="16">
        <f>IFERROR(IF(G78="","",G78),"")</f>
        <v>0.043926004901</v>
      </c>
    </row>
    <row r="8" spans="2:7" ht="15" customHeight="1" x14ac:dyDescent="0.35">
      <c r="B8" s="70" t="s">
        <v>71</v>
      </c>
      <c r="C8" s="16">
        <f>IFERROR(IF(C79="","",C79),"")</f>
        <v>0.008224946173</v>
      </c>
      <c r="D8" s="16">
        <f>IFERROR(IF(D79="","",D79),"")</f>
        <v>0.021</v>
      </c>
      <c r="E8" s="16">
        <f>IFERROR(IF(E79="","",E79),"")</f>
        <v>0.026694490401073807</v>
      </c>
      <c r="F8" s="16">
        <f>IFERROR(IF(F79="","",F79),"")</f>
        <v>0.0180248562671326</v>
      </c>
      <c r="G8" s="16">
        <f>IFERROR(IF(G79="","",G79),"")</f>
        <v>0.041763215364</v>
      </c>
    </row>
    <row r="9" spans="2:7" ht="15" customHeight="1" x14ac:dyDescent="0.35">
      <c r="B9" s="70" t="s">
        <v>72</v>
      </c>
      <c r="C9" s="16">
        <f>IFERROR(IF(C80="","",C80),"")</f>
        <v>0.010512757</v>
      </c>
      <c r="D9" s="16">
        <f>IFERROR(IF(D80="","",D80),"")</f>
        <v>0.014</v>
      </c>
      <c r="E9" s="16">
        <f>IFERROR(IF(E80="","",E80),"")</f>
        <v>0.02382806212325761</v>
      </c>
      <c r="F9" s="16">
        <f>IFERROR(IF(F80="","",F80),"")</f>
        <v>-0.0010726832284510101</v>
      </c>
      <c r="G9" s="16">
        <f>IFERROR(IF(G80="","",G80),"")</f>
        <v>0.015892023661</v>
      </c>
    </row>
    <row r="10" spans="2:7" ht="15" customHeight="1" x14ac:dyDescent="0.35">
      <c r="B10" s="70" t="s">
        <v>73</v>
      </c>
      <c r="C10" s="16">
        <f>IFERROR(IF(C81="","",C81),"")</f>
        <v>0.029058687954</v>
      </c>
      <c r="D10" s="16">
        <f>IFERROR(IF(D81="","",D81),"")</f>
        <v>0.013</v>
      </c>
      <c r="E10" s="16">
        <f>IFERROR(IF(E81="","",E81),"")</f>
        <v>0.017672683978170626</v>
      </c>
      <c r="F10" s="16">
        <f>IFERROR(IF(F81="","",F81),"")</f>
        <v>0.0326079508191566</v>
      </c>
      <c r="G10" s="16">
        <f>IFERROR(IF(G81="","",G81),"")</f>
        <v>0.0414063348</v>
      </c>
    </row>
    <row r="11" spans="2:7" ht="15" customHeight="1" x14ac:dyDescent="0.35">
      <c r="B11" s="70" t="s">
        <v>74</v>
      </c>
      <c r="C11" s="16">
        <f>IFERROR(IF(C82="","",C82),"")</f>
        <v>0.011251972026</v>
      </c>
      <c r="D11" s="16">
        <f>IFERROR(IF(D82="","",D82),"")</f>
        <v>-0.009</v>
      </c>
      <c r="E11" s="16">
        <f>IFERROR(IF(E82="","",E82),"")</f>
        <v>0.0092</v>
      </c>
      <c r="F11" s="16">
        <f>IFERROR(IF(F82="","",F82),"")</f>
        <v>-0.00296808367985065</v>
      </c>
      <c r="G11" s="16">
        <f>IFERROR(IF(G82="","",G82),"")</f>
        <v>0.037556344138</v>
      </c>
    </row>
    <row r="12" spans="2:7" ht="15" customHeight="1" x14ac:dyDescent="0.35">
      <c r="B12" s="70" t="s">
        <v>75</v>
      </c>
      <c r="C12" s="16">
        <f>IFERROR(IF(C83="","",C83),"")</f>
        <v>-0.000278395602</v>
      </c>
      <c r="D12" s="16">
        <f>IFERROR(IF(D83="","",D83),"")</f>
        <v>-0.002</v>
      </c>
      <c r="E12" s="16">
        <f>IFERROR(IF(E83="","",E83),"")</f>
        <v>0.013</v>
      </c>
      <c r="F12" s="16">
        <f>IFERROR(IF(F83="","",F83),"")</f>
        <v>-0.0026110932801167103</v>
      </c>
      <c r="G12" s="16">
        <f>IFERROR(IF(G83="","",G83),"")</f>
        <v>0.036803776465</v>
      </c>
    </row>
    <row r="13" spans="2:7" ht="15" customHeight="1" x14ac:dyDescent="0.35">
      <c r="B13" s="70" t="s">
        <v>76</v>
      </c>
      <c r="C13" s="16">
        <f>IFERROR(IF(C84="","",C84),"")</f>
        <v>0.035286822157</v>
      </c>
      <c r="D13" s="16">
        <f>IFERROR(IF(D84="","",D84),"")</f>
        <v>0.001</v>
      </c>
      <c r="E13" s="16">
        <f>IFERROR(IF(E84="","",E84),"")</f>
        <v>0.0398</v>
      </c>
      <c r="F13" s="16">
        <f>IFERROR(IF(F84="","",F84),"")</f>
        <v>0.014</v>
      </c>
      <c r="G13" s="16">
        <f>IFERROR(IF(G84="","",G84),"")</f>
        <v>0.032679298123</v>
      </c>
    </row>
    <row r="14" spans="2:7" ht="15" customHeight="1" x14ac:dyDescent="0.35">
      <c r="B14" s="70" t="s">
        <v>253</v>
      </c>
      <c r="C14" s="16">
        <f>IFERROR(IF(C85="","",C85),"")</f>
        <v>0.012360352238</v>
      </c>
      <c r="D14" s="16">
        <f>IFERROR(IF(D85="","",D85),"")</f>
        <v>-0.011</v>
      </c>
      <c r="E14" s="16">
        <f>IFERROR(IF(E85="","",E85),"")</f>
        <v>0.0323</v>
      </c>
      <c r="F14" s="16">
        <f>IFERROR(IF(F85="","",F85),"")</f>
        <v>0.023</v>
      </c>
      <c r="G14" s="16">
        <f>IFERROR(IF(G85="","",G85),"")</f>
        <v>0.03807912794</v>
      </c>
    </row>
    <row r="15" spans="2:7" ht="15" customHeight="1" x14ac:dyDescent="0.35">
      <c r="B15" s="70" t="s">
        <v>254</v>
      </c>
      <c r="C15" s="16">
        <f>IFERROR(IF(C86="","",C86),"")</f>
        <v>0.009877301354</v>
      </c>
      <c r="D15" s="16">
        <f>IFERROR(IF(D86="","",D86),"")</f>
        <v>-0.014</v>
      </c>
      <c r="E15" s="16">
        <f>IFERROR(IF(E86="","",E86),"")</f>
        <v>0.0429</v>
      </c>
      <c r="F15" s="16">
        <f>IFERROR(IF(F86="","",F86),"")</f>
        <v>0.011</v>
      </c>
      <c r="G15" s="16">
        <f>IFERROR(IF(G86="","",G86),"")</f>
        <v>0.021754127286</v>
      </c>
    </row>
    <row r="16" spans="2:7" ht="15" customHeight="1" x14ac:dyDescent="0.35">
      <c r="B16" s="70" t="s">
        <v>255</v>
      </c>
      <c r="C16" s="16">
        <f>IFERROR(IF(C87="","",C87),"")</f>
        <v>0.02361572927</v>
      </c>
      <c r="D16" s="16">
        <f>IFERROR(IF(D87="","",D87),"")</f>
        <v>0.02</v>
      </c>
      <c r="E16" s="16">
        <f>IFERROR(IF(E87="","",E87),"")</f>
        <v>0.0341</v>
      </c>
      <c r="F16" s="16">
        <f>IFERROR(IF(F87="","",F87),"")</f>
        <v>0.028</v>
      </c>
      <c r="G16" s="16">
        <f>IFERROR(IF(G87="","",G87),"")</f>
        <v>0.017513508585</v>
      </c>
    </row>
    <row r="17" spans="2:7" ht="15" customHeight="1" x14ac:dyDescent="0.35">
      <c r="B17" s="70" t="s">
        <v>256</v>
      </c>
      <c r="C17" s="16">
        <f>IFERROR(IF(C88="","",C88),"")</f>
        <v>0.01061552801</v>
      </c>
      <c r="D17" s="16">
        <f>IFERROR(IF(D88="","",D88),"")</f>
        <v>-0.015</v>
      </c>
      <c r="E17" s="16">
        <f>IFERROR(IF(E88="","",E88),"")</f>
        <v>0.0111</v>
      </c>
      <c r="F17" s="16">
        <f>IFERROR(IF(F88="","",F88),"")</f>
        <v>0.034</v>
      </c>
      <c r="G17" s="16">
        <f>IFERROR(IF(G88="","",G88),"")</f>
        <v>0.035592604174</v>
      </c>
    </row>
    <row r="18" spans="2:7" ht="15" customHeight="1" thickBot="1" x14ac:dyDescent="0.4">
      <c r="B18" s="70" t="s">
        <v>257</v>
      </c>
      <c r="C18" s="16" t="str">
        <f>IFERROR(IF(C89="","",C89),"")</f>
        <v/>
      </c>
      <c r="D18" s="16">
        <f>IFERROR(IF(D89="","",D89),"")</f>
        <v>-0.01</v>
      </c>
      <c r="E18" s="16" t="str">
        <f>IFERROR(IF(E89="","",E89),"")</f>
        <v/>
      </c>
      <c r="F18" s="16" t="str">
        <f>IFERROR(IF(F89="","",F89),"")</f>
        <v/>
      </c>
      <c r="G18" s="16" t="str">
        <f>IFERROR(IF(G89="","",G89),"")</f>
        <v/>
      </c>
    </row>
    <row r="19" spans="2:7" ht="15" customHeight="1" thickBot="1" x14ac:dyDescent="0.4">
      <c r="B19" s="71" t="s">
        <v>77</v>
      </c>
      <c r="C19" s="68">
        <f>IFERROR(AVERAGE(C7:C18),"")</f>
        <v>0.01572253627681818</v>
      </c>
      <c r="D19" s="68">
        <f>IFERROR(AVERAGE(D7:D18),"")</f>
        <v>0.003416666666666667</v>
      </c>
      <c r="E19" s="68">
        <f>IFERROR(AVERAGE(E7:E18),"")</f>
        <v>0.026254606319934485</v>
      </c>
      <c r="F19" s="68">
        <f>IFERROR(AVERAGE(F7:F18),"")</f>
        <v>0.014743356491820002</v>
      </c>
      <c r="G19" s="69">
        <f>IFERROR(AVERAGE(G7:G18),"")</f>
        <v>0.03299694231245454</v>
      </c>
    </row>
    <row r="22" spans="2:7" ht="15" customHeight="1" x14ac:dyDescent="0.35">
      <c r="B22" s="63" t="s">
        <v>78</v>
      </c>
    </row>
    <row r="23" spans="2:7" ht="15" customHeight="1" x14ac:dyDescent="0.35">
      <c r="B23" s="61" t="s">
        <v>79</v>
      </c>
      <c r="C23" s="61" t="s">
        <v>60</v>
      </c>
      <c r="D23" s="61" t="s">
        <v>61</v>
      </c>
      <c r="E23" s="61" t="s">
        <v>62</v>
      </c>
      <c r="F23" s="61" t="s">
        <v>63</v>
      </c>
      <c r="G23" s="61" t="s">
        <v>64</v>
      </c>
    </row>
    <row r="24" spans="2:7" ht="15" customHeight="1" x14ac:dyDescent="0.35">
      <c r="B24" s="4">
        <v>44256</v>
      </c>
      <c r="C24" s="5">
        <v>6.1087869094470101E-2</v>
      </c>
      <c r="D24" s="5">
        <v>6.6327425250098299E-2</v>
      </c>
      <c r="E24" s="5">
        <v>0.11199939198803861</v>
      </c>
      <c r="F24" s="5">
        <v>2.97257911296025E-2</v>
      </c>
      <c r="G24" s="5">
        <v>0.19900000000000001</v>
      </c>
    </row>
    <row r="25" spans="2:7" ht="15" customHeight="1" x14ac:dyDescent="0.35">
      <c r="B25" s="4">
        <v>44287</v>
      </c>
      <c r="C25" s="5">
        <v>0.163384139234623</v>
      </c>
      <c r="D25" s="5">
        <v>0.152850359609942</v>
      </c>
      <c r="E25" s="5">
        <v>0.25446456140779389</v>
      </c>
      <c r="F25" s="5">
        <v>0.26018854938061603</v>
      </c>
      <c r="G25" s="5">
        <v>0.59899999999999998</v>
      </c>
    </row>
    <row r="26" spans="2:7" ht="15" customHeight="1" x14ac:dyDescent="0.35">
      <c r="B26" s="4">
        <v>44317</v>
      </c>
      <c r="C26" s="5">
        <v>0.139702053929186</v>
      </c>
      <c r="D26" s="5">
        <v>0.195518294172977</v>
      </c>
      <c r="E26" s="5">
        <v>0.13277725305715876</v>
      </c>
      <c r="F26" s="5">
        <v>0.27708113185571298</v>
      </c>
      <c r="G26" s="5">
        <v>0.48599999999999999</v>
      </c>
    </row>
    <row r="27" spans="2:7" ht="15" customHeight="1" x14ac:dyDescent="0.35">
      <c r="B27" s="4">
        <v>44348</v>
      </c>
      <c r="C27" s="5">
        <v>8.4005813940407195E-2</v>
      </c>
      <c r="D27" s="5">
        <v>0.20382431879968599</v>
      </c>
      <c r="E27" s="5">
        <v>0.15401411254992922</v>
      </c>
      <c r="F27" s="5">
        <v>0.13811555645462201</v>
      </c>
      <c r="G27" s="5">
        <v>0.23400000000000001</v>
      </c>
    </row>
    <row r="28" spans="2:7" ht="15" customHeight="1" x14ac:dyDescent="0.35">
      <c r="B28" s="4">
        <v>44378</v>
      </c>
      <c r="C28" s="5">
        <v>4.4950169574772499E-2</v>
      </c>
      <c r="D28" s="5">
        <v>0.174249039320926</v>
      </c>
      <c r="E28" s="5">
        <v>0.13187485627808671</v>
      </c>
      <c r="F28" s="5">
        <v>7.57206928134391E-2</v>
      </c>
      <c r="G28" s="5">
        <v>0.13300000000000001</v>
      </c>
    </row>
    <row r="29" spans="2:7" ht="15" customHeight="1" x14ac:dyDescent="0.35">
      <c r="B29" s="4">
        <v>44409</v>
      </c>
      <c r="C29" s="5">
        <v>4.4140440460827698E-2</v>
      </c>
      <c r="D29" s="5">
        <v>0.17966595780603398</v>
      </c>
      <c r="E29" s="5">
        <v>0.11690880947414527</v>
      </c>
      <c r="F29" s="5">
        <v>4.9503871515293597E-2</v>
      </c>
      <c r="G29" s="5">
        <v>0.12</v>
      </c>
    </row>
    <row r="30" spans="2:7" ht="15" customHeight="1" x14ac:dyDescent="0.35">
      <c r="B30" s="4">
        <v>44440</v>
      </c>
      <c r="C30" s="5">
        <v>1.25600999923603E-2</v>
      </c>
      <c r="D30" s="5">
        <v>0.13463442930236599</v>
      </c>
      <c r="E30" s="5">
        <v>0.13450793558858806</v>
      </c>
      <c r="F30" s="5">
        <v>8.1682310524770693E-3</v>
      </c>
      <c r="G30" s="5">
        <v>0.1</v>
      </c>
    </row>
    <row r="31" spans="2:7" ht="15" customHeight="1" x14ac:dyDescent="0.35">
      <c r="B31" s="4">
        <v>44470</v>
      </c>
      <c r="C31" s="5">
        <v>-1.39897845129486E-2</v>
      </c>
      <c r="D31" s="5">
        <v>0.13261557495485099</v>
      </c>
      <c r="E31" s="5">
        <v>0.10179929150495752</v>
      </c>
      <c r="F31" s="5">
        <v>-8.9320642315641389E-4</v>
      </c>
      <c r="G31" s="5">
        <v>4.8000000000000001E-2</v>
      </c>
    </row>
    <row r="32" spans="2:7" ht="15" customHeight="1" x14ac:dyDescent="0.35">
      <c r="B32" s="4">
        <v>44501</v>
      </c>
      <c r="C32" s="5">
        <v>1.3290417073958999E-2</v>
      </c>
      <c r="D32" s="5">
        <v>0.13332037299206501</v>
      </c>
      <c r="E32" s="5">
        <v>0.10541242379524447</v>
      </c>
      <c r="F32" s="5">
        <v>1.8047322712025499E-2</v>
      </c>
      <c r="G32" s="5">
        <v>3.7999999999999999E-2</v>
      </c>
    </row>
    <row r="33" spans="2:7" ht="15" customHeight="1" x14ac:dyDescent="0.35">
      <c r="B33" s="4">
        <v>44531</v>
      </c>
      <c r="C33" s="5">
        <v>1.85802952795475E-2</v>
      </c>
      <c r="D33" s="5">
        <v>8.7511618722782097E-2</v>
      </c>
      <c r="E33" s="5">
        <v>0.10306803304172817</v>
      </c>
      <c r="F33" s="5">
        <v>1.7107927013753098E-2</v>
      </c>
      <c r="G33" s="5">
        <v>0.02</v>
      </c>
    </row>
    <row r="34" spans="2:7" ht="15" customHeight="1" x14ac:dyDescent="0.35">
      <c r="B34" s="4">
        <v>44562</v>
      </c>
      <c r="C34" s="5">
        <v>-1.0432074161198499E-3</v>
      </c>
      <c r="D34" s="5">
        <v>7.2095966976150699E-2</v>
      </c>
      <c r="E34" s="5">
        <v>7.9972834519477939E-2</v>
      </c>
      <c r="F34" s="5">
        <v>1.7843394180878401E-2</v>
      </c>
      <c r="G34" s="5">
        <v>3.1E-2</v>
      </c>
    </row>
    <row r="35" spans="2:7" ht="15" customHeight="1" x14ac:dyDescent="0.35">
      <c r="B35" s="4">
        <v>44593</v>
      </c>
      <c r="C35" s="5">
        <v>1.79731760429231E-2</v>
      </c>
      <c r="D35" s="5">
        <v>5.0054386870159701E-2</v>
      </c>
      <c r="E35" s="5">
        <v>6.7041080501151817E-2</v>
      </c>
      <c r="F35" s="5">
        <v>3.0091690764695499E-2</v>
      </c>
      <c r="G35" s="5">
        <v>4.8000000000000001E-2</v>
      </c>
    </row>
    <row r="36" spans="2:7" ht="15" customHeight="1" x14ac:dyDescent="0.35">
      <c r="B36" s="4">
        <v>44621</v>
      </c>
      <c r="C36" s="5">
        <v>3.4819221940806298E-2</v>
      </c>
      <c r="D36" s="5">
        <v>5.66965502787736E-2</v>
      </c>
      <c r="E36" s="5">
        <v>7.0043441965175368E-2</v>
      </c>
      <c r="F36" s="5">
        <v>1.7973443267052601E-2</v>
      </c>
      <c r="G36" s="5">
        <v>3.9E-2</v>
      </c>
    </row>
    <row r="37" spans="2:7" ht="15" customHeight="1" x14ac:dyDescent="0.35">
      <c r="B37" s="4">
        <v>44652</v>
      </c>
      <c r="C37" s="5">
        <v>2.9843750385717599E-2</v>
      </c>
      <c r="D37" s="5">
        <v>5.9048563004485299E-2</v>
      </c>
      <c r="E37" s="5">
        <v>0.10430781703451558</v>
      </c>
      <c r="F37" s="5">
        <v>2.3845229043453601E-2</v>
      </c>
      <c r="G37" s="5">
        <v>0.04</v>
      </c>
    </row>
    <row r="38" spans="2:7" ht="15" customHeight="1" x14ac:dyDescent="0.35">
      <c r="B38" s="4">
        <v>44682</v>
      </c>
      <c r="C38" s="5">
        <v>3.8654782414550497E-2</v>
      </c>
      <c r="D38" s="5">
        <v>5.58859181847444E-2</v>
      </c>
      <c r="E38" s="5">
        <v>0.16759463755863466</v>
      </c>
      <c r="F38" s="5">
        <v>3.47578446864725E-2</v>
      </c>
      <c r="G38" s="5">
        <v>2.5000000000000001E-2</v>
      </c>
    </row>
    <row r="39" spans="2:7" ht="15" customHeight="1" x14ac:dyDescent="0.35">
      <c r="B39" s="4">
        <v>44713</v>
      </c>
      <c r="C39" s="5">
        <v>3.0049380917184499E-2</v>
      </c>
      <c r="D39" s="5">
        <v>2.7970632563751797E-2</v>
      </c>
      <c r="E39" s="5">
        <v>7.769837042526874E-2</v>
      </c>
      <c r="F39" s="5">
        <v>1.85190957941779E-2</v>
      </c>
      <c r="G39" s="5">
        <v>3.6999999999999998E-2</v>
      </c>
    </row>
    <row r="40" spans="2:7" ht="15" customHeight="1" x14ac:dyDescent="0.35">
      <c r="B40" s="4">
        <v>44743</v>
      </c>
      <c r="C40" s="5">
        <v>4.23160340300952E-2</v>
      </c>
      <c r="D40" s="5">
        <v>-4.3808421788809997E-3</v>
      </c>
      <c r="E40" s="5">
        <v>6.0038300683816603E-2</v>
      </c>
      <c r="F40" s="5">
        <v>2.4666760406362599E-2</v>
      </c>
      <c r="G40" s="5">
        <v>0.02</v>
      </c>
    </row>
    <row r="41" spans="2:7" ht="15" customHeight="1" x14ac:dyDescent="0.35">
      <c r="B41" s="4">
        <v>44774</v>
      </c>
      <c r="C41" s="5">
        <v>5.4276227870494201E-2</v>
      </c>
      <c r="D41" s="5">
        <v>6.3490712253175992E-3</v>
      </c>
      <c r="E41" s="5">
        <v>8.6926782490774734E-2</v>
      </c>
      <c r="F41" s="5">
        <v>5.8618640268336207E-2</v>
      </c>
      <c r="G41" s="5">
        <v>0.02</v>
      </c>
    </row>
    <row r="42" spans="2:7" ht="15" customHeight="1" x14ac:dyDescent="0.35">
      <c r="B42" s="4">
        <v>44805</v>
      </c>
      <c r="C42" s="5">
        <v>4.2360668971581403E-2</v>
      </c>
      <c r="D42" s="5">
        <v>1.7856372039133999E-3</v>
      </c>
      <c r="E42" s="5">
        <v>4.2251215951196033E-2</v>
      </c>
      <c r="F42" s="5">
        <v>5.4670682414087297E-2</v>
      </c>
      <c r="G42" s="5">
        <v>2.1999999999999999E-2</v>
      </c>
    </row>
    <row r="43" spans="2:7" ht="15" customHeight="1" x14ac:dyDescent="0.35">
      <c r="B43" s="4">
        <v>44835</v>
      </c>
      <c r="C43" s="5">
        <v>3.86162885424906E-2</v>
      </c>
      <c r="D43" s="5">
        <v>-1.8790917978613E-2</v>
      </c>
      <c r="E43" s="5">
        <v>4.0724729562040804E-2</v>
      </c>
      <c r="F43" s="5">
        <v>4.69145127929953E-2</v>
      </c>
      <c r="G43" s="5">
        <v>2.5999999999999999E-2</v>
      </c>
    </row>
    <row r="44" spans="2:7" ht="15" customHeight="1" x14ac:dyDescent="0.35">
      <c r="B44" s="4">
        <v>44866</v>
      </c>
      <c r="C44" s="5">
        <v>1.2939688792553901E-2</v>
      </c>
      <c r="D44" s="5">
        <v>-2.866486420366E-2</v>
      </c>
      <c r="E44" s="5">
        <v>8.0419369485113629E-4</v>
      </c>
      <c r="F44" s="5">
        <v>4.6869564500061897E-2</v>
      </c>
      <c r="G44" s="5">
        <v>2.1999999999999999E-2</v>
      </c>
    </row>
    <row r="45" spans="2:7" ht="15" customHeight="1" x14ac:dyDescent="0.35">
      <c r="B45" s="4">
        <v>44896</v>
      </c>
      <c r="C45" s="5">
        <v>6.77139150771455E-3</v>
      </c>
      <c r="D45" s="5">
        <v>-1.2635246838237E-2</v>
      </c>
      <c r="E45" s="5">
        <v>5.2409770885600438E-3</v>
      </c>
      <c r="F45" s="5">
        <v>4.3347329639315105E-2</v>
      </c>
      <c r="G45" s="5">
        <v>1.2999999999999999E-2</v>
      </c>
    </row>
    <row r="46" spans="2:7" ht="15" customHeight="1" x14ac:dyDescent="0.35">
      <c r="B46" s="4">
        <v>44927</v>
      </c>
      <c r="C46" s="5">
        <v>3.7448177300622998E-2</v>
      </c>
      <c r="D46" s="5">
        <v>1.35912623781745E-2</v>
      </c>
      <c r="E46" s="5">
        <v>4.305896138968919E-2</v>
      </c>
      <c r="F46" s="5">
        <v>4.7861325286248001E-2</v>
      </c>
      <c r="G46" s="5">
        <v>-5.0000000000000001E-3</v>
      </c>
    </row>
    <row r="47" spans="2:7" ht="15" customHeight="1" x14ac:dyDescent="0.35">
      <c r="B47" s="4">
        <v>44958</v>
      </c>
      <c r="C47" s="5">
        <v>3.2039658212953001E-2</v>
      </c>
      <c r="D47" s="5">
        <v>1.6342433643252998E-3</v>
      </c>
      <c r="E47" s="5">
        <v>2.4634885254249072E-2</v>
      </c>
      <c r="F47" s="5">
        <v>3.6985973207341399E-2</v>
      </c>
      <c r="G47" s="5">
        <v>-3.0000000000000001E-3</v>
      </c>
    </row>
    <row r="48" spans="2:7" ht="15" customHeight="1" x14ac:dyDescent="0.35">
      <c r="B48" s="4">
        <v>44986</v>
      </c>
      <c r="C48" s="5">
        <v>5.8574797104680602E-2</v>
      </c>
      <c r="D48" s="5">
        <v>-1.4905514158226002E-2</v>
      </c>
      <c r="E48" s="5">
        <v>1.4181155528732604E-2</v>
      </c>
      <c r="F48" s="5">
        <v>2.4510838210762099E-2</v>
      </c>
      <c r="G48" s="5">
        <v>8.9999999999999993E-3</v>
      </c>
    </row>
    <row r="49" spans="2:7" ht="15" customHeight="1" x14ac:dyDescent="0.35">
      <c r="B49" s="4">
        <v>45017</v>
      </c>
      <c r="C49" s="5">
        <v>3.8084628268024098E-2</v>
      </c>
      <c r="D49" s="5">
        <v>-4.9711935165639995E-3</v>
      </c>
      <c r="E49" s="5">
        <v>-7.5974101631611293E-3</v>
      </c>
      <c r="F49" s="5">
        <v>1.7680407107691799E-2</v>
      </c>
      <c r="G49" s="5">
        <v>8.0000000000000002E-3</v>
      </c>
    </row>
    <row r="50" spans="2:7" ht="15" customHeight="1" x14ac:dyDescent="0.35">
      <c r="B50" s="4">
        <v>45047</v>
      </c>
      <c r="C50" s="5">
        <v>3.0352482904627099E-2</v>
      </c>
      <c r="D50" s="5">
        <v>-5.9935949482020001E-3</v>
      </c>
      <c r="E50" s="5">
        <v>2.6545886701711654E-3</v>
      </c>
      <c r="F50" s="5">
        <v>4.14399351722336E-2</v>
      </c>
      <c r="G50" s="5">
        <v>-1.0999999999999999E-2</v>
      </c>
    </row>
    <row r="51" spans="2:7" ht="15" customHeight="1" x14ac:dyDescent="0.35">
      <c r="B51" s="4">
        <v>45078</v>
      </c>
      <c r="C51" s="5">
        <v>2.9972233453394101E-2</v>
      </c>
      <c r="D51" s="5">
        <v>2.7461043058110002E-4</v>
      </c>
      <c r="E51" s="5">
        <v>2.4934003156569275E-2</v>
      </c>
      <c r="F51" s="5">
        <v>3.7945868965142203E-2</v>
      </c>
      <c r="G51" s="5">
        <v>-7.0000000000000001E-3</v>
      </c>
    </row>
    <row r="52" spans="2:7" ht="15" customHeight="1" x14ac:dyDescent="0.35">
      <c r="B52" s="4">
        <v>45108</v>
      </c>
      <c r="C52" s="5">
        <v>1.3165815781268001E-2</v>
      </c>
      <c r="D52" s="5">
        <v>2.9153413219811498E-2</v>
      </c>
      <c r="E52" s="5">
        <v>6.0355807184151898E-3</v>
      </c>
      <c r="F52" s="5">
        <v>3.0478224697433397E-2</v>
      </c>
      <c r="G52" s="5">
        <v>-0.01</v>
      </c>
    </row>
    <row r="53" spans="2:7" ht="15" customHeight="1" x14ac:dyDescent="0.35">
      <c r="B53" s="4">
        <v>45139</v>
      </c>
      <c r="C53" s="5">
        <v>1.46448772251226E-2</v>
      </c>
      <c r="D53" s="5">
        <v>4.1833633693122005E-3</v>
      </c>
      <c r="E53" s="5">
        <v>6.414358573582319E-3</v>
      </c>
      <c r="F53" s="5">
        <v>3.2712848730439802E-2</v>
      </c>
      <c r="G53" s="5">
        <v>1E-3</v>
      </c>
    </row>
    <row r="54" spans="2:7" ht="15" customHeight="1" x14ac:dyDescent="0.35">
      <c r="B54" s="4">
        <v>45170</v>
      </c>
      <c r="C54" s="5">
        <v>6.1947887119908601E-3</v>
      </c>
      <c r="D54" s="5">
        <v>9.0236184963746E-3</v>
      </c>
      <c r="E54" s="5">
        <v>-4.9181505707981896E-3</v>
      </c>
      <c r="F54" s="5">
        <v>3.7658872297136596E-2</v>
      </c>
      <c r="G54" s="5">
        <v>-8.9999999999999993E-3</v>
      </c>
    </row>
    <row r="55" spans="2:7" ht="15" customHeight="1" x14ac:dyDescent="0.35">
      <c r="B55" s="4">
        <v>45200</v>
      </c>
      <c r="C55" s="5">
        <v>1.78847583528077E-2</v>
      </c>
      <c r="D55" s="5">
        <v>2.3886867770405898E-2</v>
      </c>
      <c r="E55" s="5">
        <v>-6.6630045407444528E-3</v>
      </c>
      <c r="F55" s="5">
        <v>4.4585339224235694E-2</v>
      </c>
      <c r="G55" s="5">
        <v>-7.0000000000000001E-3</v>
      </c>
    </row>
    <row r="56" spans="2:7" ht="15" customHeight="1" x14ac:dyDescent="0.35">
      <c r="B56" s="4">
        <v>45231</v>
      </c>
      <c r="C56" s="5">
        <v>2.6417849600409701E-2</v>
      </c>
      <c r="D56" s="5">
        <v>2.2813485961918501E-2</v>
      </c>
      <c r="E56" s="5">
        <v>3.7672131970792437E-2</v>
      </c>
      <c r="F56" s="5">
        <v>1.7266012367699399E-2</v>
      </c>
      <c r="G56" s="5">
        <v>6.0000000000000001E-3</v>
      </c>
    </row>
    <row r="57" spans="2:7" ht="15" customHeight="1" x14ac:dyDescent="0.35">
      <c r="B57" s="4">
        <v>45261</v>
      </c>
      <c r="C57" s="5">
        <v>1.7135196518516301E-2</v>
      </c>
      <c r="D57" s="5">
        <v>5.4210593170122001E-3</v>
      </c>
      <c r="E57" s="5">
        <v>9.3144883458560913E-3</v>
      </c>
      <c r="F57" s="5">
        <v>4.7222493817984899E-3</v>
      </c>
      <c r="G57" s="5">
        <v>-1.0999999999999999E-2</v>
      </c>
    </row>
    <row r="58" spans="2:7" ht="15" customHeight="1" x14ac:dyDescent="0.35">
      <c r="B58" s="4">
        <v>45292</v>
      </c>
      <c r="C58" s="5">
        <v>4.2622174189823399E-2</v>
      </c>
      <c r="D58" s="5">
        <v>0.037</v>
      </c>
      <c r="E58" s="5">
        <v>1.6492731682158562E-2</v>
      </c>
      <c r="F58" s="5">
        <v>2.3404511433369902E-2</v>
      </c>
      <c r="G58" s="5">
        <v>1.7999999999999999E-2</v>
      </c>
    </row>
    <row r="59" spans="2:7" ht="15" customHeight="1" x14ac:dyDescent="0.35">
      <c r="B59" s="4">
        <v>45323</v>
      </c>
      <c r="C59" s="5">
        <v>3.5730757364674397E-2</v>
      </c>
      <c r="D59" s="5">
        <v>0.058</v>
      </c>
      <c r="E59" s="5">
        <v>2.3808944404296994E-2</v>
      </c>
      <c r="F59" s="5">
        <v>4.3466327086152896E-2</v>
      </c>
      <c r="G59" s="5">
        <v>3.2000000000000001E-2</v>
      </c>
    </row>
    <row r="60" spans="2:7" ht="15" customHeight="1" x14ac:dyDescent="0.35">
      <c r="B60" s="4">
        <v>45352</v>
      </c>
      <c r="C60" s="5">
        <v>-9.8328424014221295E-3</v>
      </c>
      <c r="D60" s="5">
        <v>0.012</v>
      </c>
      <c r="E60" s="5">
        <v>-2.0798051911159375E-2</v>
      </c>
      <c r="F60" s="5">
        <v>-1.3765828153736901E-2</v>
      </c>
      <c r="G60" s="5">
        <v>-4.0000000000000001E-3</v>
      </c>
    </row>
    <row r="61" spans="2:7" ht="15" customHeight="1" x14ac:dyDescent="0.35">
      <c r="B61" s="4">
        <v>45383</v>
      </c>
      <c r="C61" s="5">
        <v>5.0909334065835803E-2</v>
      </c>
      <c r="D61" s="5">
        <v>0.039</v>
      </c>
      <c r="E61" s="5">
        <v>5.5483054805481373E-2</v>
      </c>
      <c r="F61" s="5">
        <v>5.3812154367878E-2</v>
      </c>
      <c r="G61" s="5">
        <v>5.5E-2</v>
      </c>
    </row>
    <row r="62" spans="2:7" ht="15" customHeight="1" x14ac:dyDescent="0.35">
      <c r="B62" s="4">
        <v>45413</v>
      </c>
      <c r="C62" s="5">
        <v>1.8850357908765599E-2</v>
      </c>
      <c r="D62" s="5">
        <v>0.003</v>
      </c>
      <c r="E62" s="5">
        <v>2.1493165339182097E-2</v>
      </c>
      <c r="F62" s="5">
        <v>1.4511885072428199E-2</v>
      </c>
      <c r="G62" s="5">
        <v>5.7000000000000002E-2</v>
      </c>
    </row>
    <row r="63" spans="2:7" ht="15" customHeight="1" x14ac:dyDescent="0.35">
      <c r="B63" s="4">
        <v>45444</v>
      </c>
      <c r="C63" s="5">
        <v>3.4518453231938501E-2</v>
      </c>
      <c r="D63" s="5">
        <v>-0.007</v>
      </c>
      <c r="E63" s="5">
        <v>-1.9784613723769839E-2</v>
      </c>
      <c r="F63" s="5">
        <v>-5.8409544364145909E-3</v>
      </c>
      <c r="G63" s="5">
        <v>4.0000000000000001E-3</v>
      </c>
    </row>
    <row r="64" spans="2:7" ht="15" customHeight="1" x14ac:dyDescent="0.35">
      <c r="B64" s="4">
        <v>45474</v>
      </c>
      <c r="C64" s="5">
        <v>5.8813704343970701E-2</v>
      </c>
      <c r="D64" s="5">
        <v>0.045</v>
      </c>
      <c r="E64" s="5">
        <v>3.0347177322618109E-2</v>
      </c>
      <c r="F64" s="5">
        <v>3.87659026881624E-2</v>
      </c>
      <c r="G64" s="5">
        <v>4.9000000000000002E-2</v>
      </c>
    </row>
    <row r="65" spans="2:7" ht="15" customHeight="1" x14ac:dyDescent="0.35">
      <c r="B65" s="4">
        <v>45505</v>
      </c>
      <c r="C65" s="5">
        <v>3.7944179414998398E-2</v>
      </c>
      <c r="D65" s="5">
        <v>0.022</v>
      </c>
      <c r="E65" s="5">
        <v>1.3120245792598269E-2</v>
      </c>
      <c r="F65" s="5">
        <v>3.9941834146446798E-3</v>
      </c>
      <c r="G65" s="5">
        <v>0.04</v>
      </c>
    </row>
    <row r="66" spans="2:7" ht="15" customHeight="1" x14ac:dyDescent="0.35">
      <c r="B66" s="4">
        <v>45536</v>
      </c>
      <c r="C66" s="5">
        <v>5.24996211489124E-2</v>
      </c>
      <c r="D66" s="5">
        <v>0.005</v>
      </c>
      <c r="E66" s="5">
        <v>5.2612709208349883E-3</v>
      </c>
      <c r="F66" s="5">
        <v>-1.3975328701897598E-3</v>
      </c>
      <c r="G66" s="5">
        <v>3.5000000000000003E-2</v>
      </c>
    </row>
    <row r="67" spans="2:7" ht="15" customHeight="1" x14ac:dyDescent="0.35">
      <c r="B67" s="4">
        <v>45566</v>
      </c>
      <c r="C67" s="5">
        <v>7.1126588377815797E-2</v>
      </c>
      <c r="D67" s="5">
        <v>0.029</v>
      </c>
      <c r="E67" s="5">
        <v>3.2831687465293413E-2</v>
      </c>
      <c r="F67" s="5">
        <v>6.7506520522803704E-3</v>
      </c>
      <c r="G67" s="5">
        <v>3.7999999999999999E-2</v>
      </c>
    </row>
    <row r="68" spans="2:7" ht="15" customHeight="1" x14ac:dyDescent="0.35">
      <c r="B68" s="4">
        <v>45597</v>
      </c>
      <c r="C68" s="5">
        <v>3.7177668749311499E-2</v>
      </c>
      <c r="D68" s="5">
        <v>0.024</v>
      </c>
      <c r="E68" s="5">
        <v>1.7250363920398115E-3</v>
      </c>
      <c r="F68" s="5">
        <v>2.3546586734582301E-3</v>
      </c>
      <c r="G68" s="5">
        <v>4.3999999999999997E-2</v>
      </c>
    </row>
    <row r="69" spans="2:7" ht="15" customHeight="1" x14ac:dyDescent="0.35">
      <c r="B69" s="4">
        <v>45627</v>
      </c>
      <c r="C69" s="5">
        <v>2.41291426212791E-2</v>
      </c>
      <c r="D69" s="5">
        <v>0.068</v>
      </c>
      <c r="E69" s="5">
        <v>3.4047774266954746E-2</v>
      </c>
      <c r="F69" s="5">
        <v>-6.4888012579814407E-3</v>
      </c>
      <c r="G69" s="5">
        <v>5.0999999999999997E-2</v>
      </c>
    </row>
    <row r="70" spans="2:7" ht="15" customHeight="1" x14ac:dyDescent="0.35">
      <c r="B70" s="4">
        <v>45658</v>
      </c>
      <c r="C70" s="5">
        <v>0.033553171192</v>
      </c>
      <c r="D70" s="5">
        <v>0.033</v>
      </c>
      <c r="E70" s="5">
        <v>1.9453393243888256E-2</v>
      </c>
      <c r="F70" s="5">
        <v>-4.00695461686368E-3</v>
      </c>
      <c r="G70" s="5">
        <v>4.2999999999999997E-2</v>
      </c>
    </row>
    <row r="71" spans="2:7" ht="15" customHeight="1" x14ac:dyDescent="0.35">
      <c r="B71" s="4">
        <v>45689</v>
      </c>
      <c r="C71" s="5">
        <v>0.045411926081</v>
      </c>
      <c r="D71" s="5">
        <v>0.003</v>
      </c>
      <c r="E71" s="5">
        <v>1.2728179491353585E-2</v>
      </c>
      <c r="F71" s="5">
        <v>-9.1902114632009101E-3</v>
      </c>
      <c r="G71" s="5">
        <v>2.9000000000000001E-2</v>
      </c>
    </row>
    <row r="72" spans="2:7" ht="15" customHeight="1" x14ac:dyDescent="0.35">
      <c r="B72" s="4">
        <v>45717</v>
      </c>
      <c r="C72" s="5">
        <v>0.040359053791</v>
      </c>
      <c r="D72" s="5">
        <v>0.049</v>
      </c>
      <c r="E72" s="5">
        <v>4.6266754037872032E-2</v>
      </c>
      <c r="F72" s="5">
        <v>2.6294869719699E-2</v>
      </c>
      <c r="G72" s="5">
        <v>4.8000000000000001E-2</v>
      </c>
    </row>
    <row r="73" spans="2:7" ht="15" customHeight="1" x14ac:dyDescent="0.35">
      <c r="B73" s="4">
        <v>45748</v>
      </c>
      <c r="C73" s="5">
        <v>0.030652912809</v>
      </c>
      <c r="D73" s="5">
        <v>0.039</v>
      </c>
      <c r="E73" s="5">
        <v>1.7477031830249246E-3</v>
      </c>
      <c r="F73" s="5">
        <v>-1.5704795453433899E-2</v>
      </c>
      <c r="G73" s="5">
        <v>1.4E-2</v>
      </c>
    </row>
    <row r="74" spans="2:7" ht="15" customHeight="1" x14ac:dyDescent="0.35">
      <c r="B74" s="4">
        <v>45778</v>
      </c>
      <c r="C74" s="5">
        <v>0.036959402721</v>
      </c>
      <c r="D74" s="5">
        <v>0.039</v>
      </c>
      <c r="E74" s="5">
        <v>2.4331562417676054E-2</v>
      </c>
      <c r="F74" s="5">
        <v>4.3864260811489003E-4</v>
      </c>
      <c r="G74" s="5">
        <v>2.3E-2</v>
      </c>
    </row>
    <row r="75" spans="2:7" ht="15" customHeight="1" x14ac:dyDescent="0.35">
      <c r="B75" s="4">
        <v>45809</v>
      </c>
      <c r="C75" s="5">
        <v>0.014467181659</v>
      </c>
      <c r="D75" s="5">
        <v>0.034</v>
      </c>
      <c r="E75" s="5">
        <v>3.632191213994318E-2</v>
      </c>
      <c r="F75" s="5">
        <v>1.0671387368810901E-2</v>
      </c>
      <c r="G75" s="5">
        <v>0.0494005156</v>
      </c>
    </row>
    <row r="76" spans="2:7" ht="15" customHeight="1" x14ac:dyDescent="0.35">
      <c r="B76" s="4">
        <v>45839</v>
      </c>
      <c r="C76" s="5">
        <v>0.015209186514</v>
      </c>
      <c r="D76" s="5">
        <v>0.016</v>
      </c>
      <c r="E76" s="5">
        <v>4.7506176973897848E-2</v>
      </c>
      <c r="F76" s="5">
        <v>-9.3503260798056004E-3</v>
      </c>
      <c r="G76" s="5">
        <v>0.035506417542</v>
      </c>
    </row>
    <row r="77" spans="2:7" ht="15" customHeight="1" x14ac:dyDescent="0.35">
      <c r="B77" s="4">
        <v>45870</v>
      </c>
      <c r="C77" s="5">
        <v>0.002888355213</v>
      </c>
      <c r="D77" s="5">
        <v>0.003</v>
      </c>
      <c r="E77" s="5">
        <v>2.4926092288029479E-2</v>
      </c>
      <c r="F77" s="5">
        <v>-4.9035539125986795E-3</v>
      </c>
      <c r="G77" s="5">
        <v>0.031649960095</v>
      </c>
    </row>
    <row r="78" spans="2:7" ht="15" customHeight="1" x14ac:dyDescent="0.35">
      <c r="B78" s="4">
        <v>45901</v>
      </c>
      <c r="C78" s="5">
        <v>0.022422198465</v>
      </c>
      <c r="D78" s="5">
        <v>0.033</v>
      </c>
      <c r="E78" s="5">
        <v>3.8205433016777306E-2</v>
      </c>
      <c r="F78" s="5">
        <v>8.1959745121491807E-3</v>
      </c>
      <c r="G78" s="5">
        <v>0.043926004901</v>
      </c>
    </row>
    <row r="79" spans="2:7" ht="15" customHeight="1" x14ac:dyDescent="0.35">
      <c r="B79" s="4">
        <v>45931</v>
      </c>
      <c r="C79" s="5">
        <v>0.008224946173</v>
      </c>
      <c r="D79" s="5">
        <v>0.021</v>
      </c>
      <c r="E79" s="5">
        <v>2.6694490401073807E-2</v>
      </c>
      <c r="F79" s="5">
        <v>1.80248562671326E-2</v>
      </c>
      <c r="G79" s="5">
        <v>0.041763215364</v>
      </c>
    </row>
    <row r="80" spans="2:7" ht="15" customHeight="1" x14ac:dyDescent="0.35">
      <c r="B80" s="4">
        <v>45962</v>
      </c>
      <c r="C80" s="5">
        <v>0.010512757</v>
      </c>
      <c r="D80" s="5">
        <v>0.014</v>
      </c>
      <c r="E80" s="5">
        <v>2.382806212325761E-2</v>
      </c>
      <c r="F80" s="5">
        <v>-1.0726832284510101E-3</v>
      </c>
      <c r="G80" s="5">
        <v>0.015892023661</v>
      </c>
    </row>
    <row r="81" spans="2:7" ht="15" customHeight="1" x14ac:dyDescent="0.35">
      <c r="B81" s="4">
        <v>45992</v>
      </c>
      <c r="C81" s="5">
        <v>0.029058687954</v>
      </c>
      <c r="D81" s="5">
        <v>0.013</v>
      </c>
      <c r="E81" s="5">
        <v>1.7672683978170626E-2</v>
      </c>
      <c r="F81" s="5">
        <v>3.26079508191566E-2</v>
      </c>
      <c r="G81" s="5">
        <v>0.0414063348</v>
      </c>
    </row>
    <row r="82" spans="2:7" ht="15" customHeight="1" x14ac:dyDescent="0.35">
      <c r="B82" s="4">
        <v>46023</v>
      </c>
      <c r="C82" s="5">
        <v>0.011251972026</v>
      </c>
      <c r="D82" s="5">
        <v>-0.009</v>
      </c>
      <c r="E82" s="5">
        <v>0.0092</v>
      </c>
      <c r="F82" s="5">
        <v>-2.96808367985065E-3</v>
      </c>
      <c r="G82" s="5">
        <v>0.037556344138</v>
      </c>
    </row>
    <row r="83" spans="2:7" ht="15" customHeight="1" x14ac:dyDescent="0.35">
      <c r="B83" s="4">
        <v>46054</v>
      </c>
      <c r="C83" s="5">
        <v>-0.000278395602</v>
      </c>
      <c r="D83" s="5">
        <v>-0.002</v>
      </c>
      <c r="E83" s="5">
        <v>0.013</v>
      </c>
      <c r="F83" s="5">
        <v>-2.6110932801167103E-3</v>
      </c>
      <c r="G83" s="5">
        <v>0.036803776465</v>
      </c>
    </row>
    <row r="84" spans="2:7" ht="15" customHeight="1" x14ac:dyDescent="0.35">
      <c r="B84" s="4">
        <v>46082</v>
      </c>
      <c r="C84" s="87">
        <v>0.035286822157</v>
      </c>
      <c r="D84" s="5">
        <v>0.001</v>
      </c>
      <c r="E84" s="87">
        <v>0.0398</v>
      </c>
      <c r="F84" s="87">
        <v>0.014</v>
      </c>
      <c r="G84" s="87">
        <v>0.032679298123</v>
      </c>
    </row>
    <row r="85" spans="2:7" ht="15" customHeight="1" x14ac:dyDescent="0.35">
      <c r="B85" s="4">
        <v>46113</v>
      </c>
      <c r="C85" s="87">
        <v>0.012360352238</v>
      </c>
      <c r="D85" s="87">
        <v>-0.011</v>
      </c>
      <c r="E85" s="87">
        <v>0.0323</v>
      </c>
      <c r="F85" s="87">
        <v>0.023</v>
      </c>
      <c r="G85" s="87">
        <v>0.03807912794</v>
      </c>
    </row>
    <row r="86" spans="2:7" ht="15" customHeight="1" x14ac:dyDescent="0.35">
      <c r="B86" s="4">
        <v>46143</v>
      </c>
      <c r="C86" s="87">
        <v>0.009877301354</v>
      </c>
      <c r="D86" s="87">
        <v>-0.014</v>
      </c>
      <c r="E86" s="87">
        <v>0.0429</v>
      </c>
      <c r="F86" s="87">
        <v>0.011</v>
      </c>
      <c r="G86" s="87">
        <v>0.021754127286</v>
      </c>
    </row>
    <row r="87" ht="15" customHeight="1">
      <c r="B87" s="4">
        <v>46174</v>
      </c>
      <c r="C87" s="87">
        <v>0.02361572927</v>
      </c>
      <c r="D87" s="87">
        <v>0.02</v>
      </c>
      <c r="E87" s="87">
        <v>0.0341</v>
      </c>
      <c r="F87" s="87">
        <v>0.028</v>
      </c>
      <c r="G87" s="87">
        <v>0.017513508585</v>
      </c>
    </row>
    <row r="88" ht="15" customHeight="1">
      <c r="B88" s="4">
        <v>46204</v>
      </c>
      <c r="C88" s="87">
        <v>0.01061552801</v>
      </c>
      <c r="D88" s="87">
        <v>-0.015</v>
      </c>
      <c r="E88" s="87">
        <v>0.0111</v>
      </c>
      <c r="F88" s="87">
        <v>0.034</v>
      </c>
      <c r="G88" s="87">
        <v>0.035592604174</v>
      </c>
    </row>
    <row r="89" ht="15" customHeight="1">
      <c r="B89" s="4">
        <v>46235</v>
      </c>
      <c r="C89" s="88"/>
      <c r="D89" s="87">
        <v>-0.01</v>
      </c>
      <c r="E89" s="8"/>
      <c r="F89" s="8"/>
      <c r="G89" s="8"/>
    </row>
    <row r="91" spans="2:7" ht="15" customHeight="1" x14ac:dyDescent="0.35">
      <c r="B91" s="2" t="s">
        <v>80</v>
      </c>
      <c r="C91" s="37" t="s">
        <v>81</v>
      </c>
      <c r="D91" s="37"/>
      <c r="E91" s="37"/>
      <c r="F91" s="37"/>
      <c r="G91" s="37"/>
    </row>
    <row r="92" spans="2:7" ht="15" customHeight="1" x14ac:dyDescent="0.35">
      <c r="B92" s="2" t="s">
        <v>82</v>
      </c>
      <c r="C92" s="38" t="s">
        <v>83</v>
      </c>
      <c r="D92" s="38"/>
      <c r="E92" s="38"/>
      <c r="F92" s="38"/>
      <c r="G92" s="38"/>
    </row>
    <row r="93" spans="2:7" ht="15" customHeight="1" x14ac:dyDescent="0.35">
      <c r="B93" s="2" t="s">
        <v>82</v>
      </c>
      <c r="C93" s="38" t="s">
        <v>84</v>
      </c>
      <c r="D93" s="38"/>
      <c r="E93" s="38"/>
      <c r="F93" s="38"/>
      <c r="G93" s="38"/>
    </row>
    <row r="94" spans="2:7" ht="15" customHeight="1" x14ac:dyDescent="0.35">
      <c r="B94" s="2" t="s">
        <v>82</v>
      </c>
      <c r="C94" s="38" t="s">
        <v>85</v>
      </c>
      <c r="D94" s="38"/>
      <c r="E94" s="38"/>
      <c r="F94" s="38"/>
      <c r="G94" s="38"/>
    </row>
    <row r="95" spans="2:7" ht="15" customHeight="1" x14ac:dyDescent="0.35">
      <c r="B95" s="2" t="s">
        <v>82</v>
      </c>
      <c r="C95" s="38" t="s">
        <v>86</v>
      </c>
      <c r="D95" s="38"/>
      <c r="E95" s="38"/>
      <c r="F95" s="38"/>
      <c r="G95" s="38"/>
    </row>
    <row r="96" spans="2:7" ht="15" customHeight="1" x14ac:dyDescent="0.35">
      <c r="B96" s="2" t="s">
        <v>82</v>
      </c>
      <c r="C96" s="38" t="s">
        <v>87</v>
      </c>
      <c r="D96" s="38"/>
      <c r="E96" s="38"/>
      <c r="F96" s="38"/>
      <c r="G96" s="38"/>
    </row>
  </sheetData>
  <mergeCells count="6">
    <mergeCell ref="C96:G96"/>
    <mergeCell ref="C91:G91"/>
    <mergeCell ref="C92:G92"/>
    <mergeCell ref="C93:G93"/>
    <mergeCell ref="C94:G94"/>
    <mergeCell ref="C95:G95"/>
  </mergeCells>
  <conditionalFormatting sqref="C7:G18">
    <cfRule type="colorScale" priority="3">
      <colorScale>
        <cfvo type="num" val="-0.06"/>
        <cfvo type="num" val="0"/>
        <cfvo type="num" val="0.06"/>
        <color rgb="FFF8696B"/>
        <color rgb="FFFFFFFF"/>
        <color rgb="FF63BE7B"/>
      </colorScale>
    </cfRule>
  </conditionalFormatting>
  <conditionalFormatting sqref="C19:G19">
    <cfRule type="colorScale" priority="1">
      <colorScale>
        <cfvo type="min"/>
        <cfvo type="max"/>
        <color rgb="FFFCFCFF"/>
        <color rgb="FF63BE7B"/>
      </colorScale>
    </cfRule>
  </conditionalFormatting>
  <printOptions horizontalCentered="1"/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93"/>
  <sheetViews>
    <sheetView showGridLines="0" zoomScaleNormal="100" workbookViewId="0">
      <selection activeCell="J28" sqref="J28"/>
    </sheetView>
  </sheetViews>
  <sheetFormatPr baseColWidth="10" defaultColWidth="8.7265625" defaultRowHeight="14" x14ac:dyDescent="0.3"/>
  <cols>
    <col min="1" max="1" width="3" style="19" customWidth="1"/>
    <col min="2" max="2" width="14" style="19" customWidth="1"/>
    <col min="3" max="6" width="12" style="19" customWidth="1"/>
    <col min="7" max="16384" width="8.7265625" style="19"/>
  </cols>
  <sheetData>
    <row r="2" spans="2:6" ht="19.5" customHeight="1" x14ac:dyDescent="0.4">
      <c r="B2" s="64" t="s">
        <v>88</v>
      </c>
    </row>
    <row r="3" spans="2:6" ht="15" customHeight="1" x14ac:dyDescent="0.35">
      <c r="B3" s="20" t="s">
        <v>89</v>
      </c>
    </row>
    <row r="5" spans="2:6" ht="15" customHeight="1" x14ac:dyDescent="0.4">
      <c r="B5" s="67" t="s">
        <v>143</v>
      </c>
      <c r="C5" s="21"/>
      <c r="D5" s="21"/>
      <c r="E5" s="21"/>
      <c r="F5" s="21"/>
    </row>
    <row r="6" spans="2:6" ht="15" customHeight="1" x14ac:dyDescent="0.3">
      <c r="B6" s="84" t="s">
        <v>59</v>
      </c>
      <c r="C6" s="84" t="s">
        <v>60</v>
      </c>
      <c r="D6" s="84" t="s">
        <v>61</v>
      </c>
      <c r="E6" s="84" t="s">
        <v>62</v>
      </c>
      <c r="F6" s="84" t="s">
        <v>63</v>
      </c>
    </row>
    <row r="7" spans="2:6" ht="15" customHeight="1" x14ac:dyDescent="0.3">
      <c r="B7" s="72" t="s">
        <v>70</v>
      </c>
      <c r="C7" s="27">
        <f>IFERROR(IF(C76="","",C76),"")</f>
        <v>0.009</v>
      </c>
      <c r="D7" s="27">
        <f>IFERROR(IF(D76="","",D76),"")</f>
        <v>0.065</v>
      </c>
      <c r="E7" s="27">
        <f>IFERROR(IF(E76="","",E76),"")</f>
        <v>0.143</v>
      </c>
      <c r="F7" s="27">
        <f>IFERROR(IF(F76="","",F76),"")</f>
        <v>0.033</v>
      </c>
    </row>
    <row r="8" spans="2:6" ht="15" customHeight="1" x14ac:dyDescent="0.3">
      <c r="B8" s="72" t="s">
        <v>71</v>
      </c>
      <c r="C8" s="27">
        <f>IFERROR(IF(C77="","",C77),"")</f>
        <v>0.01</v>
      </c>
      <c r="D8" s="27">
        <f>IFERROR(IF(D77="","",D77),"")</f>
        <v>0.083</v>
      </c>
      <c r="E8" s="27">
        <f>IFERROR(IF(E77="","",E77),"")</f>
        <v>0.098</v>
      </c>
      <c r="F8" s="27">
        <f>IFERROR(IF(F77="","",F77),"")</f>
        <v>0.034</v>
      </c>
    </row>
    <row r="9" spans="2:6" ht="15" customHeight="1" x14ac:dyDescent="0.3">
      <c r="B9" s="72" t="s">
        <v>72</v>
      </c>
      <c r="C9" s="27">
        <f>IFERROR(IF(C78="","",C78),"")</f>
        <v>0.015</v>
      </c>
      <c r="D9" s="27">
        <f>IFERROR(IF(D78="","",D78),"")</f>
        <v>0.058</v>
      </c>
      <c r="E9" s="27">
        <f>IFERROR(IF(E78="","",E78),"")</f>
        <v>0.074</v>
      </c>
      <c r="F9" s="27">
        <f>IFERROR(IF(F78="","",F78),"")</f>
        <v>0.044</v>
      </c>
    </row>
    <row r="10" spans="2:6" ht="15" customHeight="1" x14ac:dyDescent="0.3">
      <c r="B10" s="72" t="s">
        <v>73</v>
      </c>
      <c r="C10" s="27">
        <f>IFERROR(IF(C79="","",C79),"")</f>
        <v>0.024</v>
      </c>
      <c r="D10" s="27">
        <f>IFERROR(IF(D79="","",D79),"")</f>
        <v>0.044</v>
      </c>
      <c r="E10" s="27">
        <f>IFERROR(IF(E79="","",E79),"")</f>
        <v>0.111</v>
      </c>
      <c r="F10" s="27">
        <f>IFERROR(IF(F79="","",F79),"")</f>
        <v>0.043</v>
      </c>
    </row>
    <row r="11" spans="2:6" ht="15" customHeight="1" x14ac:dyDescent="0.3">
      <c r="B11" s="72" t="s">
        <v>74</v>
      </c>
      <c r="C11" s="27">
        <f>IFERROR(IF(C80="","",C80),"")</f>
        <v>0.027</v>
      </c>
      <c r="D11" s="27">
        <f>IFERROR(IF(D80="","",D80),"")</f>
        <v>0.036</v>
      </c>
      <c r="E11" s="27">
        <f>IFERROR(IF(E80="","",E80),"")</f>
        <v>0.079</v>
      </c>
      <c r="F11" s="27">
        <f>IFERROR(IF(F80="","",F80),"")</f>
        <v>0.05</v>
      </c>
    </row>
    <row r="12" spans="2:6" ht="15" customHeight="1" x14ac:dyDescent="0.3">
      <c r="B12" s="72" t="s">
        <v>75</v>
      </c>
      <c r="C12" s="27">
        <f>IFERROR(IF(C81="","",C81),"")</f>
        <v>0.003</v>
      </c>
      <c r="D12" s="27">
        <f>IFERROR(IF(D81="","",D81),"")</f>
        <v>0.056</v>
      </c>
      <c r="E12" s="27">
        <f>IFERROR(IF(E81="","",E81),"")</f>
        <v>0.109</v>
      </c>
      <c r="F12" s="27">
        <f>IFERROR(IF(F81="","",F81),"")</f>
        <v>0.031</v>
      </c>
    </row>
    <row r="13" spans="2:6" ht="15" customHeight="1" x14ac:dyDescent="0.3">
      <c r="B13" s="72" t="s">
        <v>76</v>
      </c>
      <c r="C13" s="27">
        <f>IFERROR(IF(C82="","",C82),"")</f>
        <v>0.039</v>
      </c>
      <c r="D13" s="27">
        <f>IFERROR(IF(D82="","",D82),"")</f>
        <v>0.046</v>
      </c>
      <c r="E13" s="27">
        <f>IFERROR(IF(E82="","",E82),"")</f>
        <v>0.134</v>
      </c>
      <c r="F13" s="27">
        <f>IFERROR(IF(F82="","",F82),"")</f>
        <v>0.029</v>
      </c>
    </row>
    <row r="14" spans="2:6" ht="15" customHeight="1" x14ac:dyDescent="0.3">
      <c r="B14" s="72" t="s">
        <v>253</v>
      </c>
      <c r="C14" s="27">
        <f>IFERROR(IF(C83="","",C83),"")</f>
        <v>0.012</v>
      </c>
      <c r="D14" s="27" t="str">
        <f>IFERROR(IF(D83="","",D83),"")</f>
        <v/>
      </c>
      <c r="E14" s="27">
        <f>IFERROR(IF(E83="","",E83),"")</f>
        <v>0.149</v>
      </c>
      <c r="F14" s="27">
        <f>IFERROR(IF(F83="","",F83),"")</f>
        <v>0.044</v>
      </c>
    </row>
    <row r="15" spans="2:6" ht="15" customHeight="1" x14ac:dyDescent="0.3">
      <c r="B15" s="72" t="s">
        <v>254</v>
      </c>
      <c r="C15" s="27">
        <f>IFERROR(IF(C84="","",C84),"")</f>
        <v>0.007</v>
      </c>
      <c r="D15" s="27" t="str">
        <f>IFERROR(IF(D84="","",D84),"")</f>
        <v/>
      </c>
      <c r="E15" s="27">
        <f>IFERROR(IF(E84="","",E84),"")</f>
        <v>0.117</v>
      </c>
      <c r="F15" s="27">
        <f>IFERROR(IF(F84="","",F84),"")</f>
        <v>0.016</v>
      </c>
    </row>
    <row r="16" spans="2:6" ht="15" customHeight="1" x14ac:dyDescent="0.3">
      <c r="B16" s="72" t="s">
        <v>255</v>
      </c>
      <c r="C16" s="27">
        <f>IFERROR(IF(C85="","",C85),"")</f>
        <v>0.028</v>
      </c>
      <c r="D16" s="27" t="str">
        <f>IFERROR(IF(D85="","",D85),"")</f>
        <v/>
      </c>
      <c r="E16" s="27">
        <f>IFERROR(IF(E85="","",E85),"")</f>
        <v>0.147</v>
      </c>
      <c r="F16" s="27">
        <f>IFERROR(IF(F85="","",F85),"")</f>
        <v>0.027</v>
      </c>
    </row>
    <row r="17" spans="2:6" ht="15" customHeight="1" x14ac:dyDescent="0.3">
      <c r="B17" s="72" t="s">
        <v>256</v>
      </c>
      <c r="C17" s="27">
        <f>IFERROR(IF(C86="","",C86),"")</f>
        <v>0.013</v>
      </c>
      <c r="D17" s="27" t="str">
        <f>IFERROR(IF(D86="","",D86),"")</f>
        <v/>
      </c>
      <c r="E17" s="27">
        <f>IFERROR(IF(E86="","",E86),"")</f>
        <v>0.053</v>
      </c>
      <c r="F17" s="27">
        <f>IFERROR(IF(F86="","",F86),"")</f>
        <v>0.018</v>
      </c>
    </row>
    <row r="18" spans="2:6" ht="15" customHeight="1" thickBot="1" x14ac:dyDescent="0.35">
      <c r="B18" s="72" t="s">
        <v>257</v>
      </c>
      <c r="C18" s="27">
        <f>IFERROR(IF(C87="","",C87),"")</f>
        <v>0.004</v>
      </c>
      <c r="D18" s="27" t="str">
        <f>IFERROR(IF(D87="","",D87),"")</f>
        <v/>
      </c>
      <c r="E18" s="27">
        <f>IFERROR(IF(E87="","",E87),"")</f>
        <v>0.073</v>
      </c>
      <c r="F18" s="27" t="str">
        <f>IFERROR(IF(F87="","",F87),"")</f>
        <v/>
      </c>
    </row>
    <row r="19" spans="2:6" ht="15" customHeight="1" thickBot="1" x14ac:dyDescent="0.35">
      <c r="B19" s="73" t="s">
        <v>77</v>
      </c>
      <c r="C19" s="68">
        <f>IFERROR(AVERAGE(C7:C18),"")</f>
        <v>0.015916666666666666</v>
      </c>
      <c r="D19" s="68">
        <f>IFERROR(AVERAGE(D7:D18),"")</f>
        <v>0.05542857142857143</v>
      </c>
      <c r="E19" s="68">
        <f>IFERROR(AVERAGE(E7:E18),"")</f>
        <v>0.10725</v>
      </c>
      <c r="F19" s="69">
        <f>IFERROR(AVERAGE(F7:F18),"")</f>
        <v>0.033545454545454545</v>
      </c>
    </row>
    <row r="22" spans="2:6" ht="15" customHeight="1" x14ac:dyDescent="0.35">
      <c r="B22" s="66" t="s">
        <v>78</v>
      </c>
    </row>
    <row r="23" spans="2:6" ht="15" customHeight="1" x14ac:dyDescent="0.3">
      <c r="B23" s="65" t="s">
        <v>79</v>
      </c>
      <c r="C23" s="65" t="s">
        <v>60</v>
      </c>
      <c r="D23" s="65" t="s">
        <v>61</v>
      </c>
      <c r="E23" s="65" t="s">
        <v>62</v>
      </c>
      <c r="F23" s="65" t="s">
        <v>63</v>
      </c>
    </row>
    <row r="24" spans="2:6" ht="15" customHeight="1" x14ac:dyDescent="0.3">
      <c r="B24" s="22">
        <v>44317</v>
      </c>
      <c r="C24" s="23">
        <v>0.24</v>
      </c>
      <c r="D24" s="23">
        <v>0.38</v>
      </c>
      <c r="E24" s="23">
        <v>0.75</v>
      </c>
      <c r="F24" s="23">
        <v>0.36</v>
      </c>
    </row>
    <row r="25" spans="2:6" ht="15" customHeight="1" x14ac:dyDescent="0.3">
      <c r="B25" s="22">
        <v>44348</v>
      </c>
      <c r="C25" s="23">
        <v>0.16</v>
      </c>
      <c r="D25" s="23">
        <v>0.6</v>
      </c>
      <c r="E25" s="23">
        <v>0.3</v>
      </c>
      <c r="F25" s="23">
        <v>0.35</v>
      </c>
    </row>
    <row r="26" spans="2:6" ht="15" customHeight="1" x14ac:dyDescent="0.3">
      <c r="B26" s="22">
        <v>44378</v>
      </c>
      <c r="C26" s="23">
        <v>0.06</v>
      </c>
      <c r="D26" s="23">
        <v>0.57999999999999996</v>
      </c>
      <c r="E26" s="23">
        <v>0.3</v>
      </c>
      <c r="F26" s="23">
        <v>0.3</v>
      </c>
    </row>
    <row r="27" spans="2:6" ht="15" customHeight="1" x14ac:dyDescent="0.3">
      <c r="B27" s="22">
        <v>44409</v>
      </c>
      <c r="C27" s="23">
        <v>-0.03</v>
      </c>
      <c r="D27" s="23">
        <v>0.6</v>
      </c>
      <c r="E27" s="23">
        <v>0.31</v>
      </c>
      <c r="F27" s="23">
        <v>0.25</v>
      </c>
    </row>
    <row r="28" spans="2:6" ht="15" customHeight="1" x14ac:dyDescent="0.3">
      <c r="B28" s="22">
        <v>44440</v>
      </c>
      <c r="C28" s="23">
        <v>-0.05</v>
      </c>
      <c r="D28" s="23">
        <v>0.6</v>
      </c>
      <c r="E28" s="23">
        <v>0.22</v>
      </c>
      <c r="F28" s="23">
        <v>0.2</v>
      </c>
    </row>
    <row r="29" spans="2:6" ht="15" customHeight="1" x14ac:dyDescent="0.3">
      <c r="B29" s="22">
        <v>44470</v>
      </c>
      <c r="C29" s="23">
        <v>-7.0000000000000007E-2</v>
      </c>
      <c r="D29" s="23">
        <v>0.4</v>
      </c>
      <c r="E29" s="23">
        <v>0.19</v>
      </c>
      <c r="F29" s="23">
        <v>0.15</v>
      </c>
    </row>
    <row r="30" spans="2:6" ht="15" customHeight="1" x14ac:dyDescent="0.3">
      <c r="B30" s="22">
        <v>44501</v>
      </c>
      <c r="C30" s="23">
        <v>-7.0000000000000007E-2</v>
      </c>
      <c r="D30" s="23">
        <v>0.25</v>
      </c>
      <c r="E30" s="23">
        <v>7.0000000000000007E-2</v>
      </c>
      <c r="F30" s="23">
        <v>0.13</v>
      </c>
    </row>
    <row r="31" spans="2:6" ht="15" customHeight="1" x14ac:dyDescent="0.3">
      <c r="B31" s="22">
        <v>44531</v>
      </c>
      <c r="C31" s="23">
        <v>-0.03</v>
      </c>
      <c r="D31" s="23">
        <v>0.23</v>
      </c>
      <c r="E31" s="23">
        <v>0.14000000000000001</v>
      </c>
      <c r="F31" s="23">
        <v>0.11</v>
      </c>
    </row>
    <row r="32" spans="2:6" ht="15" customHeight="1" x14ac:dyDescent="0.3">
      <c r="B32" s="22">
        <v>44562</v>
      </c>
      <c r="C32" s="23">
        <v>-0.01</v>
      </c>
      <c r="D32" s="23">
        <v>0.18</v>
      </c>
      <c r="E32" s="23">
        <v>0.21</v>
      </c>
      <c r="F32" s="23">
        <v>0.11</v>
      </c>
    </row>
    <row r="33" spans="2:6" ht="15" customHeight="1" x14ac:dyDescent="0.3">
      <c r="B33" s="22">
        <v>44593</v>
      </c>
      <c r="C33" s="23">
        <v>-0.01</v>
      </c>
      <c r="D33" s="23">
        <v>0.12</v>
      </c>
      <c r="E33" s="23">
        <v>0.14000000000000001</v>
      </c>
      <c r="F33" s="23">
        <v>0.09</v>
      </c>
    </row>
    <row r="34" spans="2:6" ht="15" customHeight="1" x14ac:dyDescent="0.3">
      <c r="B34" s="22">
        <v>44621</v>
      </c>
      <c r="C34" s="23">
        <v>0</v>
      </c>
      <c r="D34" s="23">
        <v>0.13</v>
      </c>
      <c r="E34" s="23">
        <v>0.13</v>
      </c>
      <c r="F34" s="23">
        <v>0.08</v>
      </c>
    </row>
    <row r="35" spans="2:6" ht="15" customHeight="1" x14ac:dyDescent="0.3">
      <c r="B35" s="22">
        <v>44652</v>
      </c>
      <c r="C35" s="23">
        <v>0.05</v>
      </c>
      <c r="D35" s="23">
        <v>0.14000000000000001</v>
      </c>
      <c r="E35" s="23">
        <v>0.13</v>
      </c>
      <c r="F35" s="23">
        <v>7.0000000000000007E-2</v>
      </c>
    </row>
    <row r="36" spans="2:6" ht="15" customHeight="1" x14ac:dyDescent="0.3">
      <c r="B36" s="22">
        <v>44682</v>
      </c>
      <c r="C36" s="23">
        <v>0.04</v>
      </c>
      <c r="D36" s="23">
        <v>0.21</v>
      </c>
      <c r="E36" s="23">
        <v>0.35</v>
      </c>
      <c r="F36" s="23">
        <v>0.08</v>
      </c>
    </row>
    <row r="37" spans="2:6" ht="15" customHeight="1" x14ac:dyDescent="0.3">
      <c r="B37" s="22">
        <v>44713</v>
      </c>
      <c r="C37" s="23">
        <v>0</v>
      </c>
      <c r="D37" s="23">
        <v>-0.03</v>
      </c>
      <c r="E37" s="23">
        <v>0.12</v>
      </c>
      <c r="F37" s="23">
        <v>0.08</v>
      </c>
    </row>
    <row r="38" spans="2:6" ht="15" customHeight="1" x14ac:dyDescent="0.3">
      <c r="B38" s="22">
        <v>44743</v>
      </c>
      <c r="C38" s="23">
        <v>0.01</v>
      </c>
      <c r="D38" s="23">
        <v>-0.08</v>
      </c>
      <c r="E38" s="23">
        <v>0.09</v>
      </c>
      <c r="F38" s="23">
        <v>0.06</v>
      </c>
    </row>
    <row r="39" spans="2:6" ht="15" customHeight="1" x14ac:dyDescent="0.3">
      <c r="B39" s="22">
        <v>44774</v>
      </c>
      <c r="C39" s="23">
        <v>0.02</v>
      </c>
      <c r="D39" s="23">
        <v>-0.1</v>
      </c>
      <c r="E39" s="23">
        <v>0.08</v>
      </c>
      <c r="F39" s="23">
        <v>0.06</v>
      </c>
    </row>
    <row r="40" spans="2:6" ht="15" customHeight="1" x14ac:dyDescent="0.3">
      <c r="B40" s="22">
        <v>44805</v>
      </c>
      <c r="C40" s="23">
        <v>0.03</v>
      </c>
      <c r="D40" s="23">
        <v>-0.13</v>
      </c>
      <c r="E40" s="23">
        <v>0.06</v>
      </c>
      <c r="F40" s="23">
        <v>0.08</v>
      </c>
    </row>
    <row r="41" spans="2:6" ht="15" customHeight="1" x14ac:dyDescent="0.3">
      <c r="B41" s="22">
        <v>44835</v>
      </c>
      <c r="C41" s="23">
        <v>0.03</v>
      </c>
      <c r="D41" s="23">
        <v>-0.15</v>
      </c>
      <c r="E41" s="23">
        <v>7.0000000000000007E-2</v>
      </c>
      <c r="F41" s="23">
        <v>0.06</v>
      </c>
    </row>
    <row r="42" spans="2:6" ht="15" customHeight="1" x14ac:dyDescent="0.3">
      <c r="B42" s="22">
        <v>44866</v>
      </c>
      <c r="C42" s="23">
        <v>0.01</v>
      </c>
      <c r="D42" s="23">
        <v>-0.1</v>
      </c>
      <c r="E42" s="23">
        <v>0</v>
      </c>
      <c r="F42" s="23">
        <v>0.09</v>
      </c>
    </row>
    <row r="43" spans="2:6" ht="15" customHeight="1" x14ac:dyDescent="0.3">
      <c r="B43" s="22">
        <v>44896</v>
      </c>
      <c r="C43" s="23">
        <v>0.01</v>
      </c>
      <c r="D43" s="23">
        <v>-0.08</v>
      </c>
      <c r="E43" s="23">
        <v>-0.01</v>
      </c>
      <c r="F43" s="23">
        <v>0.06</v>
      </c>
    </row>
    <row r="44" spans="2:6" ht="15" customHeight="1" x14ac:dyDescent="0.3">
      <c r="B44" s="22">
        <v>44927</v>
      </c>
      <c r="C44" s="23">
        <v>0.01</v>
      </c>
      <c r="D44" s="23">
        <v>-7.0000000000000007E-2</v>
      </c>
      <c r="E44" s="23">
        <v>-0.03</v>
      </c>
      <c r="F44" s="23">
        <v>7.0000000000000007E-2</v>
      </c>
    </row>
    <row r="45" spans="2:6" ht="15" customHeight="1" x14ac:dyDescent="0.3">
      <c r="B45" s="22">
        <v>44958</v>
      </c>
      <c r="C45" s="23">
        <v>0</v>
      </c>
      <c r="D45" s="23">
        <v>-7.0000000000000007E-2</v>
      </c>
      <c r="E45" s="23">
        <v>-0.05</v>
      </c>
      <c r="F45" s="23">
        <v>0.06</v>
      </c>
    </row>
    <row r="46" spans="2:6" ht="15" customHeight="1" x14ac:dyDescent="0.3">
      <c r="B46" s="22">
        <v>44986</v>
      </c>
      <c r="C46" s="23">
        <v>0</v>
      </c>
      <c r="D46" s="23">
        <v>-0.08</v>
      </c>
      <c r="E46" s="23">
        <v>-0.05</v>
      </c>
      <c r="F46" s="23">
        <v>0.04</v>
      </c>
    </row>
    <row r="47" spans="2:6" ht="15" customHeight="1" x14ac:dyDescent="0.3">
      <c r="B47" s="22">
        <v>45017</v>
      </c>
      <c r="C47" s="23">
        <v>-0.01</v>
      </c>
      <c r="D47" s="23">
        <v>-7.0000000000000007E-2</v>
      </c>
      <c r="E47" s="23">
        <v>-0.03</v>
      </c>
      <c r="F47" s="23">
        <v>0.04</v>
      </c>
    </row>
    <row r="48" spans="2:6" ht="15" customHeight="1" x14ac:dyDescent="0.3">
      <c r="B48" s="22">
        <v>45047</v>
      </c>
      <c r="C48" s="23">
        <v>0</v>
      </c>
      <c r="D48" s="23">
        <v>-0.05</v>
      </c>
      <c r="E48" s="23">
        <v>-0.02</v>
      </c>
      <c r="F48" s="23">
        <v>0.04</v>
      </c>
    </row>
    <row r="49" spans="2:6" ht="15" customHeight="1" x14ac:dyDescent="0.3">
      <c r="B49" s="22">
        <v>45078</v>
      </c>
      <c r="C49" s="23">
        <v>0</v>
      </c>
      <c r="D49" s="23">
        <v>-0.03</v>
      </c>
      <c r="E49" s="23">
        <v>-0.02</v>
      </c>
      <c r="F49" s="23">
        <v>0.05</v>
      </c>
    </row>
    <row r="50" spans="2:6" ht="15" customHeight="1" x14ac:dyDescent="0.3">
      <c r="B50" s="22">
        <v>45108</v>
      </c>
      <c r="C50" s="23">
        <v>0.01</v>
      </c>
      <c r="D50" s="23">
        <v>-0.01</v>
      </c>
      <c r="E50" s="23">
        <v>-0.01</v>
      </c>
      <c r="F50" s="23">
        <v>0.05</v>
      </c>
    </row>
    <row r="51" spans="2:6" ht="15" customHeight="1" x14ac:dyDescent="0.3">
      <c r="B51" s="22">
        <v>45139</v>
      </c>
      <c r="C51" s="23">
        <v>0.01</v>
      </c>
      <c r="D51" s="23">
        <v>0.01</v>
      </c>
      <c r="E51" s="23">
        <v>0.01</v>
      </c>
      <c r="F51" s="23">
        <v>0.04</v>
      </c>
    </row>
    <row r="52" spans="2:6" ht="15" customHeight="1" x14ac:dyDescent="0.3">
      <c r="B52" s="22">
        <v>45170</v>
      </c>
      <c r="C52" s="23">
        <v>0.02</v>
      </c>
      <c r="D52" s="23">
        <v>0</v>
      </c>
      <c r="E52" s="23">
        <v>0</v>
      </c>
      <c r="F52" s="23">
        <v>0.05</v>
      </c>
    </row>
    <row r="53" spans="2:6" ht="15" customHeight="1" x14ac:dyDescent="0.3">
      <c r="B53" s="22">
        <v>45200</v>
      </c>
      <c r="C53" s="23">
        <v>0.02</v>
      </c>
      <c r="D53" s="23">
        <v>0</v>
      </c>
      <c r="E53" s="23">
        <v>0.01</v>
      </c>
      <c r="F53" s="23">
        <v>0.04</v>
      </c>
    </row>
    <row r="54" spans="2:6" ht="15" customHeight="1" x14ac:dyDescent="0.3">
      <c r="B54" s="22">
        <v>45231</v>
      </c>
      <c r="C54" s="23">
        <v>0.01</v>
      </c>
      <c r="D54" s="23">
        <v>0.01</v>
      </c>
      <c r="E54" s="23">
        <v>0.02</v>
      </c>
      <c r="F54" s="23">
        <v>0.04</v>
      </c>
    </row>
    <row r="55" spans="2:6" ht="15" customHeight="1" x14ac:dyDescent="0.3">
      <c r="B55" s="22">
        <v>45261</v>
      </c>
      <c r="C55" s="23">
        <v>0.02</v>
      </c>
      <c r="D55" s="23">
        <v>0.02</v>
      </c>
      <c r="E55" s="23">
        <v>0.02</v>
      </c>
      <c r="F55" s="23">
        <v>0.04</v>
      </c>
    </row>
    <row r="56" spans="2:6" ht="15" customHeight="1" x14ac:dyDescent="0.3">
      <c r="B56" s="22">
        <v>45292</v>
      </c>
      <c r="C56" s="23">
        <v>0.03</v>
      </c>
      <c r="D56" s="23">
        <v>0.01</v>
      </c>
      <c r="E56" s="23">
        <v>0.01</v>
      </c>
      <c r="F56" s="23">
        <v>0.05</v>
      </c>
    </row>
    <row r="57" spans="2:6" ht="15" customHeight="1" x14ac:dyDescent="0.3">
      <c r="B57" s="22">
        <v>45323</v>
      </c>
      <c r="C57" s="23">
        <v>0.04</v>
      </c>
      <c r="D57" s="23">
        <v>0.01</v>
      </c>
      <c r="E57" s="23">
        <v>0</v>
      </c>
      <c r="F57" s="23">
        <v>0.05</v>
      </c>
    </row>
    <row r="58" spans="2:6" ht="15" customHeight="1" x14ac:dyDescent="0.3">
      <c r="B58" s="22">
        <v>45352</v>
      </c>
      <c r="C58" s="23">
        <v>0.02</v>
      </c>
      <c r="D58" s="23">
        <v>0.01</v>
      </c>
      <c r="E58" s="23">
        <v>0.01</v>
      </c>
      <c r="F58" s="23">
        <v>0.05</v>
      </c>
    </row>
    <row r="59" spans="2:6" ht="15" customHeight="1" x14ac:dyDescent="0.3">
      <c r="B59" s="22">
        <v>45383</v>
      </c>
      <c r="C59" s="23">
        <v>0.02</v>
      </c>
      <c r="D59" s="23">
        <v>0.06</v>
      </c>
      <c r="E59" s="23">
        <v>0.04</v>
      </c>
      <c r="F59" s="23">
        <v>0.04</v>
      </c>
    </row>
    <row r="60" spans="2:6" ht="15" customHeight="1" x14ac:dyDescent="0.3">
      <c r="B60" s="22">
        <v>45413</v>
      </c>
      <c r="C60" s="23">
        <v>0.01</v>
      </c>
      <c r="D60" s="23">
        <v>0.04</v>
      </c>
      <c r="E60" s="23">
        <v>0.01</v>
      </c>
      <c r="F60" s="23">
        <v>0.04</v>
      </c>
    </row>
    <row r="61" spans="2:6" ht="15" customHeight="1" x14ac:dyDescent="0.3">
      <c r="B61" s="22">
        <v>45444</v>
      </c>
      <c r="C61" s="23">
        <v>0.02</v>
      </c>
      <c r="D61" s="23">
        <v>0.03</v>
      </c>
      <c r="E61" s="23">
        <v>0.05</v>
      </c>
      <c r="F61" s="23">
        <v>0.04</v>
      </c>
    </row>
    <row r="62" spans="2:6" ht="15" customHeight="1" x14ac:dyDescent="0.3">
      <c r="B62" s="22">
        <v>45474</v>
      </c>
      <c r="C62" s="23">
        <v>0.03</v>
      </c>
      <c r="D62" s="23">
        <v>0.04</v>
      </c>
      <c r="E62" s="23">
        <v>0.03</v>
      </c>
      <c r="F62" s="23">
        <v>0.04</v>
      </c>
    </row>
    <row r="63" spans="2:6" ht="15" customHeight="1" x14ac:dyDescent="0.3">
      <c r="B63" s="22">
        <v>45505</v>
      </c>
      <c r="C63" s="23">
        <v>0.02</v>
      </c>
      <c r="D63" s="23">
        <v>0.05</v>
      </c>
      <c r="E63" s="23">
        <v>0.04</v>
      </c>
      <c r="F63" s="23">
        <v>0.04</v>
      </c>
    </row>
    <row r="64" spans="2:6" ht="15" customHeight="1" x14ac:dyDescent="0.3">
      <c r="B64" s="22">
        <v>45536</v>
      </c>
      <c r="C64" s="23">
        <v>0.04</v>
      </c>
      <c r="D64" s="23">
        <v>0.04</v>
      </c>
      <c r="E64" s="23">
        <v>0.06</v>
      </c>
      <c r="F64" s="23">
        <v>0.03</v>
      </c>
    </row>
    <row r="65" spans="2:6" ht="15" customHeight="1" x14ac:dyDescent="0.3">
      <c r="B65" s="22">
        <v>45566</v>
      </c>
      <c r="C65" s="23">
        <v>0.01</v>
      </c>
      <c r="D65" s="23">
        <v>0.03</v>
      </c>
      <c r="E65" s="23">
        <v>0.06</v>
      </c>
      <c r="F65" s="23">
        <v>0.01</v>
      </c>
    </row>
    <row r="66" spans="2:6" ht="15" customHeight="1" x14ac:dyDescent="0.3">
      <c r="B66" s="22">
        <v>45597</v>
      </c>
      <c r="C66" s="23">
        <v>-0.01</v>
      </c>
      <c r="D66" s="23">
        <v>0.04</v>
      </c>
      <c r="E66" s="23">
        <v>0.08</v>
      </c>
      <c r="F66" s="23">
        <v>0</v>
      </c>
    </row>
    <row r="67" spans="2:6" ht="15" customHeight="1" x14ac:dyDescent="0.3">
      <c r="B67" s="22">
        <v>45627</v>
      </c>
      <c r="C67" s="23">
        <v>0</v>
      </c>
      <c r="D67" s="23">
        <v>0.05</v>
      </c>
      <c r="E67" s="23">
        <v>7.0000000000000007E-2</v>
      </c>
      <c r="F67" s="23">
        <v>0.04</v>
      </c>
    </row>
    <row r="68" spans="2:6" ht="15" customHeight="1" x14ac:dyDescent="0.3">
      <c r="B68" s="22">
        <v>45658</v>
      </c>
      <c r="C68" s="89">
        <v>0.032</v>
      </c>
      <c r="D68" s="23">
        <v>0.06</v>
      </c>
      <c r="E68" s="23">
        <v>0.08</v>
      </c>
      <c r="F68" s="23">
        <v>-0.03</v>
      </c>
    </row>
    <row r="69" spans="2:6" ht="15" customHeight="1" x14ac:dyDescent="0.3">
      <c r="B69" s="22">
        <v>45689</v>
      </c>
      <c r="C69" s="89">
        <v>0.016</v>
      </c>
      <c r="D69" s="23">
        <v>0.05</v>
      </c>
      <c r="E69" s="23">
        <v>0.09</v>
      </c>
      <c r="F69" s="23">
        <v>0.03</v>
      </c>
    </row>
    <row r="70" spans="2:6" ht="15" customHeight="1" x14ac:dyDescent="0.3">
      <c r="B70" s="22">
        <v>45717</v>
      </c>
      <c r="C70" s="89">
        <v>-0.007</v>
      </c>
      <c r="D70" s="23">
        <v>0.04</v>
      </c>
      <c r="E70" s="23">
        <v>0.11</v>
      </c>
      <c r="F70" s="23">
        <v>0.01</v>
      </c>
    </row>
    <row r="71" spans="2:6" ht="15" customHeight="1" x14ac:dyDescent="0.3">
      <c r="B71" s="22">
        <v>45748</v>
      </c>
      <c r="C71" s="89">
        <v>0.054</v>
      </c>
      <c r="D71" s="24">
        <v>3.1E-2</v>
      </c>
      <c r="E71" s="24">
        <v>0.11700000000000001</v>
      </c>
      <c r="F71" s="24">
        <v>-1.4999999999999999E-2</v>
      </c>
    </row>
    <row r="72" spans="2:6" ht="15" customHeight="1" x14ac:dyDescent="0.3">
      <c r="B72" s="22">
        <v>45778</v>
      </c>
      <c r="C72" s="89">
        <v>0.018</v>
      </c>
      <c r="D72" s="24">
        <v>5.1999999999999998E-2</v>
      </c>
      <c r="E72" s="24">
        <v>0.13500000000000001</v>
      </c>
      <c r="F72" s="24">
        <v>2.5999999999999999E-2</v>
      </c>
    </row>
    <row r="73" spans="2:6" ht="15" customHeight="1" x14ac:dyDescent="0.3">
      <c r="B73" s="22">
        <v>45809</v>
      </c>
      <c r="C73" s="89">
        <v>0.005</v>
      </c>
      <c r="D73" s="24">
        <v>0.06</v>
      </c>
      <c r="E73" s="24">
        <v>0.10299999999999999</v>
      </c>
      <c r="F73" s="24">
        <v>3.2000000000000001E-2</v>
      </c>
    </row>
    <row r="74" spans="2:6" ht="15" customHeight="1" x14ac:dyDescent="0.3">
      <c r="B74" s="22">
        <v>45839</v>
      </c>
      <c r="C74" s="89">
        <v>0.013</v>
      </c>
      <c r="D74" s="24">
        <v>5.7000000000000002E-2</v>
      </c>
      <c r="E74" s="24">
        <v>0.182</v>
      </c>
      <c r="F74" s="24">
        <v>2.4E-2</v>
      </c>
    </row>
    <row r="75" spans="2:6" ht="15" customHeight="1" x14ac:dyDescent="0.3">
      <c r="B75" s="22">
        <v>45870</v>
      </c>
      <c r="C75" s="89">
        <v>0.003</v>
      </c>
      <c r="D75" s="24">
        <v>5.1999999999999998E-2</v>
      </c>
      <c r="E75" s="24">
        <v>0.125</v>
      </c>
      <c r="F75" s="24">
        <v>2.4E-2</v>
      </c>
    </row>
    <row r="76" spans="2:6" ht="15" customHeight="1" x14ac:dyDescent="0.3">
      <c r="B76" s="22">
        <v>45901</v>
      </c>
      <c r="C76" s="89">
        <v>0.009</v>
      </c>
      <c r="D76" s="24">
        <v>6.5000000000000002E-2</v>
      </c>
      <c r="E76" s="24">
        <v>0.14299999999999999</v>
      </c>
      <c r="F76" s="24">
        <v>3.3000000000000002E-2</v>
      </c>
    </row>
    <row r="77" spans="2:6" ht="15" customHeight="1" x14ac:dyDescent="0.3">
      <c r="B77" s="22">
        <v>45931</v>
      </c>
      <c r="C77" s="89">
        <v>0.01</v>
      </c>
      <c r="D77" s="24">
        <v>8.3000000000000004E-2</v>
      </c>
      <c r="E77" s="24">
        <v>9.8000000000000004E-2</v>
      </c>
      <c r="F77" s="24">
        <v>3.4000000000000002E-2</v>
      </c>
    </row>
    <row r="78" spans="2:6" ht="15" customHeight="1" x14ac:dyDescent="0.3">
      <c r="B78" s="22">
        <v>45962</v>
      </c>
      <c r="C78" s="89">
        <v>0.015</v>
      </c>
      <c r="D78" s="24">
        <v>5.8000000000000003E-2</v>
      </c>
      <c r="E78" s="24">
        <v>7.3999999999999996E-2</v>
      </c>
      <c r="F78" s="24">
        <v>4.3999999999999997E-2</v>
      </c>
    </row>
    <row r="79" spans="2:6" ht="15" customHeight="1" x14ac:dyDescent="0.3">
      <c r="B79" s="22">
        <v>45992</v>
      </c>
      <c r="C79" s="89">
        <v>0.024</v>
      </c>
      <c r="D79" s="24">
        <v>4.3999999999999997E-2</v>
      </c>
      <c r="E79" s="24">
        <v>0.111</v>
      </c>
      <c r="F79" s="24">
        <v>4.2999999999999997E-2</v>
      </c>
    </row>
    <row r="80" spans="2:6" ht="15" customHeight="1" x14ac:dyDescent="0.3">
      <c r="B80" s="22">
        <v>46023</v>
      </c>
      <c r="C80" s="89">
        <v>0.027</v>
      </c>
      <c r="D80" s="24">
        <v>3.5999999999999997E-2</v>
      </c>
      <c r="E80" s="24">
        <v>7.9000000000000001E-2</v>
      </c>
      <c r="F80" s="24">
        <v>0.05</v>
      </c>
    </row>
    <row r="81" spans="2:6" ht="15" customHeight="1" x14ac:dyDescent="0.3">
      <c r="B81" s="22">
        <v>46054</v>
      </c>
      <c r="C81" s="89">
        <v>0.003</v>
      </c>
      <c r="D81" s="24">
        <v>5.6000000000000001E-2</v>
      </c>
      <c r="E81" s="24">
        <v>0.109</v>
      </c>
      <c r="F81" s="24">
        <v>3.1E-2</v>
      </c>
    </row>
    <row r="82" spans="2:6" ht="15" customHeight="1" x14ac:dyDescent="0.3">
      <c r="B82" s="22">
        <v>46082</v>
      </c>
      <c r="C82" s="90">
        <v>0.039</v>
      </c>
      <c r="D82" s="24">
        <v>4.5999999999999999E-2</v>
      </c>
      <c r="E82" s="90">
        <v>0.134</v>
      </c>
      <c r="F82" s="90">
        <v>0.029</v>
      </c>
    </row>
    <row r="83" spans="2:6" ht="15" customHeight="1" x14ac:dyDescent="0.3">
      <c r="B83" s="22">
        <v>46113</v>
      </c>
      <c r="C83" s="90">
        <v>0.012</v>
      </c>
      <c r="D83" s="25"/>
      <c r="E83" s="90">
        <v>0.149</v>
      </c>
      <c r="F83" s="90">
        <v>0.044</v>
      </c>
    </row>
    <row r="84" spans="2:6" ht="15" customHeight="1" x14ac:dyDescent="0.3">
      <c r="B84" s="22">
        <v>46143</v>
      </c>
      <c r="C84" s="90">
        <v>0.007</v>
      </c>
      <c r="D84" s="25"/>
      <c r="E84" s="90">
        <v>0.117</v>
      </c>
      <c r="F84" s="90">
        <v>0.016</v>
      </c>
    </row>
    <row r="85" ht="15" customHeight="1">
      <c r="B85" s="22">
        <v>46174</v>
      </c>
      <c r="C85" s="90">
        <v>0.028</v>
      </c>
      <c r="D85" s="25"/>
      <c r="E85" s="90">
        <v>0.147</v>
      </c>
      <c r="F85" s="90">
        <v>0.027</v>
      </c>
    </row>
    <row r="86" ht="15" customHeight="1">
      <c r="B86" s="22">
        <v>46204</v>
      </c>
      <c r="C86" s="90">
        <v>0.013</v>
      </c>
      <c r="D86" s="25"/>
      <c r="E86" s="90">
        <v>0.053</v>
      </c>
      <c r="F86" s="90">
        <v>0.018</v>
      </c>
    </row>
    <row r="87" ht="15" customHeight="1">
      <c r="B87" s="22">
        <v>46235</v>
      </c>
      <c r="C87" s="90">
        <v>0.004</v>
      </c>
      <c r="D87" s="25"/>
      <c r="E87" s="90">
        <v>0.073</v>
      </c>
      <c r="F87" s="25"/>
    </row>
    <row r="89" spans="2:6" ht="15" customHeight="1" x14ac:dyDescent="0.3">
      <c r="B89" s="26" t="s">
        <v>80</v>
      </c>
      <c r="C89" s="39" t="s">
        <v>90</v>
      </c>
      <c r="D89" s="39"/>
      <c r="E89" s="39"/>
      <c r="F89" s="39"/>
    </row>
    <row r="90" spans="2:6" ht="15" customHeight="1" x14ac:dyDescent="0.3">
      <c r="B90" s="26" t="s">
        <v>82</v>
      </c>
      <c r="C90" s="40" t="s">
        <v>91</v>
      </c>
      <c r="D90" s="40"/>
      <c r="E90" s="40"/>
      <c r="F90" s="40"/>
    </row>
    <row r="91" spans="2:6" ht="15" customHeight="1" x14ac:dyDescent="0.3">
      <c r="B91" s="26" t="s">
        <v>82</v>
      </c>
      <c r="C91" s="40" t="s">
        <v>92</v>
      </c>
      <c r="D91" s="40"/>
      <c r="E91" s="40"/>
      <c r="F91" s="40"/>
    </row>
    <row r="92" spans="2:6" ht="15" customHeight="1" x14ac:dyDescent="0.3">
      <c r="B92" s="26" t="s">
        <v>82</v>
      </c>
      <c r="C92" s="40" t="s">
        <v>93</v>
      </c>
      <c r="D92" s="40"/>
      <c r="E92" s="40"/>
      <c r="F92" s="40"/>
    </row>
    <row r="93" spans="2:6" ht="15" customHeight="1" x14ac:dyDescent="0.3">
      <c r="B93" s="26" t="s">
        <v>82</v>
      </c>
      <c r="C93" s="40" t="s">
        <v>94</v>
      </c>
      <c r="D93" s="40"/>
      <c r="E93" s="40"/>
      <c r="F93" s="40"/>
    </row>
  </sheetData>
  <mergeCells count="5">
    <mergeCell ref="C89:F89"/>
    <mergeCell ref="C90:F90"/>
    <mergeCell ref="C91:F91"/>
    <mergeCell ref="C92:F92"/>
    <mergeCell ref="C93:F93"/>
  </mergeCells>
  <conditionalFormatting sqref="C7:F18">
    <cfRule type="colorScale" priority="3">
      <colorScale>
        <cfvo type="num" val="-0.06"/>
        <cfvo type="num" val="0"/>
        <cfvo type="num" val="0.06"/>
        <color rgb="FFF8696B"/>
        <color rgb="FFFFFFFF"/>
        <color rgb="FF63BE7B"/>
      </colorScale>
    </cfRule>
  </conditionalFormatting>
  <conditionalFormatting sqref="C19:F19">
    <cfRule type="colorScale" priority="4">
      <colorScale>
        <cfvo type="min"/>
        <cfvo type="max"/>
        <color rgb="FFFCFCFF"/>
        <color rgb="FF63BE7B"/>
      </colorScale>
    </cfRule>
  </conditionalFormatting>
  <printOptions horizontalCentered="1"/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78"/>
  <sheetViews>
    <sheetView showGridLines="0" zoomScaleNormal="100" workbookViewId="0">
      <selection activeCell="B6" sqref="B6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7" width="12" customWidth="1"/>
  </cols>
  <sheetData>
    <row r="2" spans="2:7" ht="19.5" customHeight="1" x14ac:dyDescent="0.4">
      <c r="B2" s="62" t="s">
        <v>95</v>
      </c>
    </row>
    <row r="3" spans="2:7" ht="15" customHeight="1" x14ac:dyDescent="0.35">
      <c r="B3" s="1" t="s">
        <v>96</v>
      </c>
    </row>
    <row r="5" spans="2:7" ht="15" customHeight="1" x14ac:dyDescent="0.4">
      <c r="B5" s="67" t="s">
        <v>144</v>
      </c>
      <c r="C5" s="18"/>
      <c r="D5" s="18"/>
      <c r="E5" s="18"/>
      <c r="F5" s="18"/>
      <c r="G5" s="18"/>
    </row>
    <row r="6" spans="2:7" ht="15" customHeight="1" x14ac:dyDescent="0.35">
      <c r="B6" s="84" t="s">
        <v>59</v>
      </c>
      <c r="C6" s="84" t="s">
        <v>60</v>
      </c>
      <c r="D6" s="84" t="s">
        <v>61</v>
      </c>
      <c r="E6" s="84" t="s">
        <v>62</v>
      </c>
      <c r="F6" s="84" t="s">
        <v>63</v>
      </c>
      <c r="G6" s="84" t="s">
        <v>64</v>
      </c>
    </row>
    <row r="7" spans="2:7" ht="15" customHeight="1" x14ac:dyDescent="0.35">
      <c r="B7" s="70" t="s">
        <v>70</v>
      </c>
      <c r="C7" s="28">
        <f>IFERROR(IF(C60="","",C60),"")</f>
        <v>46.2</v>
      </c>
      <c r="D7" s="28">
        <f>IFERROR(IF(D60="","",D60),"")</f>
        <v>50.1501501501501</v>
      </c>
      <c r="E7" s="28">
        <f>IFERROR(IF(E60="","",E60),"")</f>
        <v>60.2</v>
      </c>
      <c r="F7" s="28">
        <f>IFERROR(IF(F60="","",F60),"")</f>
        <v>49.31939906</v>
      </c>
      <c r="G7" s="28">
        <f>IFERROR(IF(G60="","",G60),"")</f>
        <v>64.51048951049</v>
      </c>
    </row>
    <row r="8" spans="2:7" ht="15" customHeight="1" x14ac:dyDescent="0.35">
      <c r="B8" s="70" t="s">
        <v>71</v>
      </c>
      <c r="C8" s="28">
        <f>IFERROR(IF(C61="","",C61),"")</f>
        <v>47.2</v>
      </c>
      <c r="D8" s="28">
        <f>IFERROR(IF(D61="","",D61),"")</f>
        <v>49.1071428571428</v>
      </c>
      <c r="E8" s="28">
        <f>IFERROR(IF(E61="","",E61),"")</f>
        <v>61.05</v>
      </c>
      <c r="F8" s="28">
        <f>IFERROR(IF(F61="","",F61),"")</f>
        <v>48.51227577</v>
      </c>
      <c r="G8" s="28">
        <f>IFERROR(IF(G61="","",G61),"")</f>
        <v>65.734265734266</v>
      </c>
    </row>
    <row r="9" spans="2:7" ht="15" customHeight="1" x14ac:dyDescent="0.35">
      <c r="B9" s="70" t="s">
        <v>72</v>
      </c>
      <c r="C9" s="28">
        <f>IFERROR(IF(C62="","",C62),"")</f>
        <v>48.3</v>
      </c>
      <c r="D9" s="28">
        <f>IFERROR(IF(D62="","",D62),"")</f>
        <v>52.0661157024793</v>
      </c>
      <c r="E9" s="28">
        <f>IFERROR(IF(E62="","",E62),"")</f>
        <v>61.15</v>
      </c>
      <c r="F9" s="28">
        <f>IFERROR(IF(F62="","",F62),"")</f>
        <v>48.30311363</v>
      </c>
      <c r="G9" s="28">
        <f>IFERROR(IF(G62="","",G62),"")</f>
        <v>66.153846153846</v>
      </c>
    </row>
    <row r="10" spans="2:7" ht="15" customHeight="1" x14ac:dyDescent="0.35">
      <c r="B10" s="70" t="s">
        <v>73</v>
      </c>
      <c r="C10" s="28">
        <f>IFERROR(IF(C63="","",C63),"")</f>
        <v>48</v>
      </c>
      <c r="D10" s="28">
        <f>IFERROR(IF(D63="","",D63),"")</f>
        <v>53.6231884057971</v>
      </c>
      <c r="E10" s="28">
        <f>IFERROR(IF(E63="","",E63),"")</f>
        <v>58.9</v>
      </c>
      <c r="F10" s="28">
        <f>IFERROR(IF(F63="","",F63),"")</f>
        <v>48.14813029</v>
      </c>
      <c r="G10" s="28">
        <f>IFERROR(IF(G63="","",G63),"")</f>
        <v>64.561403508772</v>
      </c>
    </row>
    <row r="11" spans="2:7" ht="15" customHeight="1" x14ac:dyDescent="0.35">
      <c r="B11" s="70" t="s">
        <v>74</v>
      </c>
      <c r="C11" s="28">
        <f>IFERROR(IF(C64="","",C64),"")</f>
        <v>48.5</v>
      </c>
      <c r="D11" s="28">
        <f>IFERROR(IF(D64="","",D64),"")</f>
        <v>57.6149425287356</v>
      </c>
      <c r="E11" s="28">
        <f>IFERROR(IF(E64="","",E64),"")</f>
        <v>63</v>
      </c>
      <c r="F11" s="28">
        <f>IFERROR(IF(F64="","",F64),"")</f>
        <v>48.00423987</v>
      </c>
      <c r="G11" s="28">
        <f>IFERROR(IF(G64="","",G64),"")</f>
        <v>67.557251908397</v>
      </c>
    </row>
    <row r="12" spans="2:7" ht="15" customHeight="1" x14ac:dyDescent="0.35">
      <c r="B12" s="70" t="s">
        <v>75</v>
      </c>
      <c r="C12" s="28">
        <f>IFERROR(IF(C65="","",C65),"")</f>
        <v>47</v>
      </c>
      <c r="D12" s="28">
        <f>IFERROR(IF(D65="","",D65),"")</f>
        <v>57.67</v>
      </c>
      <c r="E12" s="28">
        <f>IFERROR(IF(E65="","",E65),"")</f>
        <v>61.3</v>
      </c>
      <c r="F12" s="28">
        <f>IFERROR(IF(F65="","",F65),"")</f>
        <v>48.79611143</v>
      </c>
      <c r="G12" s="28">
        <f>IFERROR(IF(G65="","",G65),"")</f>
        <v>62.007874015748</v>
      </c>
    </row>
    <row r="13" spans="2:7" ht="15" customHeight="1" x14ac:dyDescent="0.35">
      <c r="B13" s="70" t="s">
        <v>76</v>
      </c>
      <c r="C13" s="28">
        <f>IFERROR(IF(C66="","",C66),"")</f>
        <v>46.6</v>
      </c>
      <c r="D13" s="28">
        <f>IFERROR(IF(D66="","",D66),"")</f>
        <v>53</v>
      </c>
      <c r="E13" s="28">
        <f>IFERROR(IF(E66="","",E66),"")</f>
        <v>61.4</v>
      </c>
      <c r="F13" s="28">
        <f>IFERROR(IF(F66="","",F66),"")</f>
        <v>48.4422741</v>
      </c>
      <c r="G13" s="28">
        <f>IFERROR(IF(G66="","",G66),"")</f>
        <v>62.121212121212</v>
      </c>
    </row>
    <row r="14" spans="2:7" ht="15" customHeight="1" x14ac:dyDescent="0.35">
      <c r="B14" s="70" t="s">
        <v>253</v>
      </c>
      <c r="C14" s="28">
        <f>IFERROR(IF(C67="","",C67),"")</f>
        <v>45.2</v>
      </c>
      <c r="D14" s="28">
        <f>IFERROR(IF(D67="","",D67),"")</f>
        <v>53.74</v>
      </c>
      <c r="E14" s="28">
        <f>IFERROR(IF(E67="","",E67),"")</f>
        <v>60.9</v>
      </c>
      <c r="F14" s="28">
        <f>IFERROR(IF(F67="","",F67),"")</f>
        <v>48.30464978</v>
      </c>
      <c r="G14" s="28">
        <f>IFERROR(IF(G67="","",G67),"")</f>
        <v>56.488549618321</v>
      </c>
    </row>
    <row r="15" spans="2:7" ht="15" customHeight="1" x14ac:dyDescent="0.35">
      <c r="B15" s="70" t="s">
        <v>254</v>
      </c>
      <c r="C15" s="28">
        <f>IFERROR(IF(C68="","",C68),"")</f>
        <v>47.2</v>
      </c>
      <c r="D15" s="28">
        <f>IFERROR(IF(D68="","",D68),"")</f>
        <v>51.97</v>
      </c>
      <c r="E15" s="28">
        <f>IFERROR(IF(E68="","",E68),"")</f>
        <v>60.25</v>
      </c>
      <c r="F15" s="28">
        <f>IFERROR(IF(F68="","",F68),"")</f>
        <v>47.8</v>
      </c>
      <c r="G15" s="28">
        <f>IFERROR(IF(G68="","",G68),"")</f>
        <v>58.75486381323</v>
      </c>
    </row>
    <row r="16" spans="2:7" ht="15" customHeight="1" x14ac:dyDescent="0.35">
      <c r="B16" s="70" t="s">
        <v>255</v>
      </c>
      <c r="C16" s="28">
        <f>IFERROR(IF(C69="","",C69),"")</f>
        <v>46.7</v>
      </c>
      <c r="D16" s="28">
        <f>IFERROR(IF(D69="","",D69),"")</f>
        <v>51.34</v>
      </c>
      <c r="E16" s="28">
        <f>IFERROR(IF(E69="","",E69),"")</f>
        <v>64.3</v>
      </c>
      <c r="F16" s="28">
        <f>IFERROR(IF(F69="","",F69),"")</f>
        <v>48</v>
      </c>
      <c r="G16" s="28">
        <f>IFERROR(IF(G69="","",G69),"")</f>
        <v>68.374558303887</v>
      </c>
    </row>
    <row r="17" spans="2:7" ht="15" customHeight="1" x14ac:dyDescent="0.35">
      <c r="B17" s="70" t="s">
        <v>256</v>
      </c>
      <c r="C17" s="28">
        <f>IFERROR(IF(C70="","",C70),"")</f>
        <v>44.4</v>
      </c>
      <c r="D17" s="28">
        <f>IFERROR(IF(D70="","",D70),"")</f>
        <v>50.88</v>
      </c>
      <c r="E17" s="28">
        <f>IFERROR(IF(E70="","",E70),"")</f>
        <v>63.75</v>
      </c>
      <c r="F17" s="28">
        <f>IFERROR(IF(F70="","",F70),"")</f>
        <v>48</v>
      </c>
      <c r="G17" s="28">
        <f>IFERROR(IF(G70="","",G70),"")</f>
        <v>67.760617760618</v>
      </c>
    </row>
    <row r="18" spans="2:7" ht="15" customHeight="1" x14ac:dyDescent="0.35">
      <c r="B18" s="70" t="s">
        <v>257</v>
      </c>
      <c r="C18" s="28">
        <f>IFERROR(IF(C71="","",C71),"")</f>
        <v>46.3</v>
      </c>
      <c r="D18" s="28">
        <f>IFERROR(IF(D71="","",D71),"")</f>
        <v>53.09</v>
      </c>
      <c r="E18" s="28">
        <f>IFERROR(IF(E71="","",E71),"")</f>
        <v>61.65</v>
      </c>
      <c r="F18" s="28">
        <f>IFERROR(IF(F71="","",F71),"")</f>
        <v>48</v>
      </c>
      <c r="G18" s="28">
        <f>IFERROR(IF(G71="","",G71),"")</f>
        <v>67.283950617284</v>
      </c>
    </row>
    <row r="19" spans="2:7" ht="15" customHeight="1" x14ac:dyDescent="0.35">
      <c r="B19" s="74" t="s">
        <v>258</v>
      </c>
      <c r="C19" s="28">
        <f>IFERROR(IF(C72="","",C72),"")</f>
        <v>44.9</v>
      </c>
      <c r="D19" s="28">
        <f>IFERROR(IF(D72="","",D72),"")</f>
        <v>51.8</v>
      </c>
      <c r="E19" s="28" t="str">
        <f>IFERROR(IF(E72="","",E72),"")</f>
        <v/>
      </c>
      <c r="F19" s="28">
        <f>IFERROR(IF(F72="","",F72),"")</f>
        <v>47.9</v>
      </c>
      <c r="G19" s="28">
        <f>IFERROR(IF(G72="","",G72),"")</f>
        <v>66.730038022814</v>
      </c>
    </row>
    <row r="20" spans="2:7" ht="15" customHeight="1" thickBot="1" x14ac:dyDescent="0.4">
      <c r="B20" s="74" t="s">
        <v>259</v>
      </c>
      <c r="C20" s="28">
        <f>IFERROR(IF(C73="","",C73),"")</f>
        <v>46.2</v>
      </c>
      <c r="D20" s="28" t="str">
        <f>IFERROR(IF(D73="","",D73),"")</f>
        <v/>
      </c>
      <c r="E20" s="28" t="str">
        <f>IFERROR(IF(E73="","",E73),"")</f>
        <v/>
      </c>
      <c r="F20" s="28" t="str">
        <f>IFERROR(IF(F73="","",F73),"")</f>
        <v/>
      </c>
      <c r="G20" s="28" t="str">
        <f>IFERROR(IF(G73="","",G73),"")</f>
        <v/>
      </c>
    </row>
    <row r="21" spans="2:7" ht="15" customHeight="1" thickBot="1" x14ac:dyDescent="0.4">
      <c r="B21" s="71" t="s">
        <v>77</v>
      </c>
      <c r="C21" s="75">
        <f>IFERROR(AVERAGE(C9:C20),"")</f>
        <v>46.60833333333333</v>
      </c>
      <c r="D21" s="75">
        <f>IFERROR(AVERAGE(D9:D20),"")</f>
        <v>53.344931512455645</v>
      </c>
      <c r="E21" s="75">
        <f>IFERROR(AVERAGE(E9:E20),"")</f>
        <v>61.660000000000004</v>
      </c>
      <c r="F21" s="75">
        <f>IFERROR(AVERAGE(F9:F20),"")</f>
        <v>48.15441082727273</v>
      </c>
      <c r="G21" s="76">
        <f>IFERROR(AVERAGE(G9:G20),"")</f>
        <v>64.34492416764809</v>
      </c>
    </row>
    <row r="24" spans="2:7" ht="15" customHeight="1" x14ac:dyDescent="0.35">
      <c r="B24" s="63" t="s">
        <v>78</v>
      </c>
    </row>
    <row r="25" spans="2:7" ht="15" customHeight="1" x14ac:dyDescent="0.35">
      <c r="B25" s="61" t="s">
        <v>79</v>
      </c>
      <c r="C25" s="61" t="s">
        <v>60</v>
      </c>
      <c r="D25" s="61" t="s">
        <v>61</v>
      </c>
      <c r="E25" s="61" t="s">
        <v>62</v>
      </c>
      <c r="F25" s="61" t="s">
        <v>63</v>
      </c>
      <c r="G25" s="61" t="s">
        <v>64</v>
      </c>
    </row>
    <row r="26" spans="2:7" ht="15" customHeight="1" x14ac:dyDescent="0.35">
      <c r="B26" s="4">
        <v>44866</v>
      </c>
      <c r="C26" s="9">
        <v>60</v>
      </c>
      <c r="D26" s="10">
        <v>40.291262135922302</v>
      </c>
      <c r="E26" s="10">
        <v>59.6</v>
      </c>
      <c r="F26" s="10">
        <v>49.603000000000002</v>
      </c>
      <c r="G26" s="10">
        <v>49.46</v>
      </c>
    </row>
    <row r="27" spans="2:7" ht="15" customHeight="1" x14ac:dyDescent="0.35">
      <c r="B27" s="4">
        <v>44896</v>
      </c>
      <c r="C27" s="9">
        <v>51</v>
      </c>
      <c r="D27" s="10">
        <v>42.320261437908499</v>
      </c>
      <c r="E27" s="10">
        <v>61.3</v>
      </c>
      <c r="F27" s="10">
        <v>47.402000000000001</v>
      </c>
      <c r="G27" s="10">
        <v>58.49</v>
      </c>
    </row>
    <row r="28" spans="2:7" ht="15" customHeight="1" x14ac:dyDescent="0.35">
      <c r="B28" s="4">
        <v>44927</v>
      </c>
      <c r="C28" s="9">
        <v>53</v>
      </c>
      <c r="D28" s="10">
        <v>42.948717948717899</v>
      </c>
      <c r="E28" s="10">
        <v>64.849999999999994</v>
      </c>
      <c r="F28" s="10">
        <v>48.55</v>
      </c>
      <c r="G28" s="10">
        <v>50.94</v>
      </c>
    </row>
    <row r="29" spans="2:7" ht="15" customHeight="1" x14ac:dyDescent="0.35">
      <c r="B29" s="4">
        <v>44958</v>
      </c>
      <c r="C29" s="9">
        <v>52</v>
      </c>
      <c r="D29" s="10">
        <v>42.857142857142897</v>
      </c>
      <c r="E29" s="10">
        <v>56.35</v>
      </c>
      <c r="F29" s="10">
        <v>51.774999999999999</v>
      </c>
      <c r="G29" s="10">
        <v>54.7</v>
      </c>
    </row>
    <row r="30" spans="2:7" ht="15" customHeight="1" x14ac:dyDescent="0.35">
      <c r="B30" s="4">
        <v>44986</v>
      </c>
      <c r="C30" s="9">
        <v>49</v>
      </c>
      <c r="D30" s="10">
        <v>44.8333333333333</v>
      </c>
      <c r="E30" s="10">
        <v>58.6</v>
      </c>
      <c r="F30" s="10">
        <v>53.610999999999997</v>
      </c>
      <c r="G30" s="10">
        <v>54.53</v>
      </c>
    </row>
    <row r="31" spans="2:7" ht="15" customHeight="1" x14ac:dyDescent="0.35">
      <c r="B31" s="4">
        <v>45017</v>
      </c>
      <c r="C31" s="9">
        <v>50</v>
      </c>
      <c r="D31" s="10">
        <v>43.0555555555556</v>
      </c>
      <c r="E31" s="10">
        <v>55.55</v>
      </c>
      <c r="F31" s="10">
        <v>54.776000000000003</v>
      </c>
      <c r="G31" s="10">
        <v>54.28</v>
      </c>
    </row>
    <row r="32" spans="2:7" ht="15" customHeight="1" x14ac:dyDescent="0.35">
      <c r="B32" s="4">
        <v>45047</v>
      </c>
      <c r="C32" s="9">
        <v>51</v>
      </c>
      <c r="D32" s="10">
        <v>43.956043956043999</v>
      </c>
      <c r="E32" s="10">
        <v>70</v>
      </c>
      <c r="F32" s="10">
        <v>55.68</v>
      </c>
      <c r="G32" s="10">
        <v>57.98</v>
      </c>
    </row>
    <row r="33" spans="2:7" ht="15" customHeight="1" x14ac:dyDescent="0.35">
      <c r="B33" s="4">
        <v>45078</v>
      </c>
      <c r="C33" s="9">
        <v>49</v>
      </c>
      <c r="D33" s="10">
        <v>44.565217391304401</v>
      </c>
      <c r="E33" s="10">
        <v>58.9</v>
      </c>
      <c r="F33" s="10">
        <v>54.954999999999998</v>
      </c>
      <c r="G33" s="10">
        <v>54.47</v>
      </c>
    </row>
    <row r="34" spans="2:7" ht="15" customHeight="1" x14ac:dyDescent="0.35">
      <c r="B34" s="4">
        <v>45108</v>
      </c>
      <c r="C34" s="9">
        <v>49</v>
      </c>
      <c r="D34" s="10">
        <v>46.415770609318997</v>
      </c>
      <c r="E34" s="10">
        <v>60.85</v>
      </c>
      <c r="F34" s="10">
        <v>56.536000000000001</v>
      </c>
      <c r="G34" s="10">
        <v>54.28</v>
      </c>
    </row>
    <row r="35" spans="2:7" ht="15" customHeight="1" x14ac:dyDescent="0.35">
      <c r="B35" s="4">
        <v>45139</v>
      </c>
      <c r="C35" s="9">
        <v>51</v>
      </c>
      <c r="D35" s="10">
        <v>46.5579710144928</v>
      </c>
      <c r="E35" s="10">
        <v>56.2</v>
      </c>
      <c r="F35" s="10">
        <v>56.436</v>
      </c>
      <c r="G35" s="10">
        <v>56.25</v>
      </c>
    </row>
    <row r="36" spans="2:7" ht="15" customHeight="1" x14ac:dyDescent="0.35">
      <c r="B36" s="4">
        <v>45170</v>
      </c>
      <c r="C36" s="9">
        <v>50</v>
      </c>
      <c r="D36" s="10">
        <v>47.286821705426398</v>
      </c>
      <c r="E36" s="10">
        <v>57.55</v>
      </c>
      <c r="F36" s="10">
        <v>56.360999999999997</v>
      </c>
      <c r="G36" s="10">
        <v>53.15</v>
      </c>
    </row>
    <row r="37" spans="2:7" ht="15" customHeight="1" x14ac:dyDescent="0.35">
      <c r="B37" s="4">
        <v>45200</v>
      </c>
      <c r="C37" s="9">
        <v>51</v>
      </c>
      <c r="D37" s="10">
        <v>45.604395604395599</v>
      </c>
      <c r="E37" s="10">
        <v>57.35</v>
      </c>
      <c r="F37" s="10">
        <v>55.448999999999998</v>
      </c>
      <c r="G37" s="10">
        <v>50.6</v>
      </c>
    </row>
    <row r="38" spans="2:7" ht="15" customHeight="1" x14ac:dyDescent="0.35">
      <c r="B38" s="4">
        <v>45231</v>
      </c>
      <c r="C38" s="9">
        <v>53</v>
      </c>
      <c r="D38" s="10">
        <v>44.767441860465098</v>
      </c>
      <c r="E38" s="10">
        <v>56.15</v>
      </c>
      <c r="F38" s="10">
        <v>56.048000000000002</v>
      </c>
      <c r="G38" s="10">
        <v>51.36</v>
      </c>
    </row>
    <row r="39" spans="2:7" ht="15" customHeight="1" x14ac:dyDescent="0.35">
      <c r="B39" s="4">
        <v>45261</v>
      </c>
      <c r="C39" s="9">
        <v>50</v>
      </c>
      <c r="D39" s="10">
        <v>46.481481481481502</v>
      </c>
      <c r="E39" s="10">
        <v>58.3</v>
      </c>
      <c r="F39" s="10">
        <v>56.167999999999999</v>
      </c>
      <c r="G39" s="10">
        <v>56.63</v>
      </c>
    </row>
    <row r="40" spans="2:7" ht="15" customHeight="1" x14ac:dyDescent="0.35">
      <c r="B40" s="4">
        <v>45292</v>
      </c>
      <c r="C40" s="9">
        <v>50</v>
      </c>
      <c r="D40" s="10">
        <v>48.995983935742998</v>
      </c>
      <c r="E40" s="10">
        <v>57.25</v>
      </c>
      <c r="F40" s="10">
        <v>55.970999999999997</v>
      </c>
      <c r="G40" s="10">
        <v>55.38</v>
      </c>
    </row>
    <row r="41" spans="2:7" ht="15" customHeight="1" x14ac:dyDescent="0.35">
      <c r="B41" s="4">
        <v>45323</v>
      </c>
      <c r="C41" s="9">
        <v>51</v>
      </c>
      <c r="D41" s="10">
        <v>50</v>
      </c>
      <c r="E41" s="10">
        <v>55.45</v>
      </c>
      <c r="F41" s="10">
        <v>54.975000000000001</v>
      </c>
      <c r="G41" s="10">
        <v>60.83</v>
      </c>
    </row>
    <row r="42" spans="2:7" ht="15" customHeight="1" x14ac:dyDescent="0.35">
      <c r="B42" s="4">
        <v>45352</v>
      </c>
      <c r="C42" s="9">
        <v>53</v>
      </c>
      <c r="D42" s="10">
        <v>52.551020408163303</v>
      </c>
      <c r="E42" s="10">
        <v>57.05</v>
      </c>
      <c r="F42" s="10">
        <v>54.756999999999998</v>
      </c>
      <c r="G42" s="10">
        <v>60.42</v>
      </c>
    </row>
    <row r="43" spans="2:7" ht="15" customHeight="1" x14ac:dyDescent="0.35">
      <c r="B43" s="4">
        <v>45383</v>
      </c>
      <c r="C43" s="9">
        <v>53</v>
      </c>
      <c r="D43" s="10">
        <v>48.387096774193601</v>
      </c>
      <c r="E43" s="10">
        <v>57.65</v>
      </c>
      <c r="F43" s="10">
        <v>54.957000000000001</v>
      </c>
      <c r="G43" s="10">
        <v>58.65</v>
      </c>
    </row>
    <row r="44" spans="2:7" ht="15" customHeight="1" x14ac:dyDescent="0.35">
      <c r="B44" s="4">
        <v>45413</v>
      </c>
      <c r="C44" s="9">
        <v>53</v>
      </c>
      <c r="D44" s="10">
        <v>48.148148148148202</v>
      </c>
      <c r="E44" s="10">
        <v>56.25</v>
      </c>
      <c r="F44" s="10">
        <v>54.636885820000003</v>
      </c>
      <c r="G44" s="10">
        <v>60.2</v>
      </c>
    </row>
    <row r="45" spans="2:7" ht="15" customHeight="1" x14ac:dyDescent="0.35">
      <c r="B45" s="4">
        <v>45444</v>
      </c>
      <c r="C45" s="9">
        <v>51</v>
      </c>
      <c r="D45" s="10">
        <v>51.481481481481502</v>
      </c>
      <c r="E45" s="10">
        <v>54.3</v>
      </c>
      <c r="F45" s="10">
        <v>53.149893380000002</v>
      </c>
      <c r="G45" s="10">
        <v>59.23</v>
      </c>
    </row>
    <row r="46" spans="2:7" ht="15" customHeight="1" x14ac:dyDescent="0.35">
      <c r="B46" s="4">
        <v>45474</v>
      </c>
      <c r="C46" s="9">
        <v>52</v>
      </c>
      <c r="D46" s="10">
        <v>49.059139784946197</v>
      </c>
      <c r="E46" s="10">
        <v>58.5</v>
      </c>
      <c r="F46" s="10">
        <v>53.492096029999999</v>
      </c>
      <c r="G46" s="10">
        <v>60.12</v>
      </c>
    </row>
    <row r="47" spans="2:7" ht="15" customHeight="1" x14ac:dyDescent="0.35">
      <c r="B47" s="4">
        <v>45505</v>
      </c>
      <c r="C47" s="9">
        <v>52</v>
      </c>
      <c r="D47" s="10">
        <v>49.553571428571402</v>
      </c>
      <c r="E47" s="10">
        <v>56.9</v>
      </c>
      <c r="F47" s="10">
        <v>52.740525730000002</v>
      </c>
      <c r="G47" s="10">
        <v>60.73</v>
      </c>
    </row>
    <row r="48" spans="2:7" ht="15" customHeight="1" x14ac:dyDescent="0.35">
      <c r="B48" s="4">
        <v>45536</v>
      </c>
      <c r="C48" s="9">
        <v>50</v>
      </c>
      <c r="D48" s="10">
        <v>48.967551622418902</v>
      </c>
      <c r="E48" s="10">
        <v>56.1</v>
      </c>
      <c r="F48" s="10">
        <v>50.985504560000003</v>
      </c>
      <c r="G48" s="10">
        <v>60.04</v>
      </c>
    </row>
    <row r="49" spans="2:9" ht="15" customHeight="1" x14ac:dyDescent="0.35">
      <c r="B49" s="4">
        <v>45566</v>
      </c>
      <c r="C49" s="9">
        <v>51</v>
      </c>
      <c r="D49" s="10">
        <v>48.473282442748101</v>
      </c>
      <c r="E49" s="10">
        <v>58.9</v>
      </c>
      <c r="F49" s="10">
        <v>51.906183200000001</v>
      </c>
      <c r="G49" s="10">
        <v>62.15</v>
      </c>
    </row>
    <row r="50" spans="2:9" ht="15" customHeight="1" x14ac:dyDescent="0.35">
      <c r="B50" s="4">
        <v>45597</v>
      </c>
      <c r="C50" s="9">
        <v>53</v>
      </c>
      <c r="D50" s="10">
        <v>48.717948717948701</v>
      </c>
      <c r="E50" s="10">
        <v>58.8</v>
      </c>
      <c r="F50" s="10">
        <v>51.484636350000002</v>
      </c>
      <c r="G50" s="10">
        <v>60.48</v>
      </c>
    </row>
    <row r="51" spans="2:9" ht="15" customHeight="1" x14ac:dyDescent="0.35">
      <c r="B51" s="4">
        <v>45627</v>
      </c>
      <c r="C51" s="9">
        <v>53</v>
      </c>
      <c r="D51" s="10">
        <v>48.425196850393696</v>
      </c>
      <c r="E51" s="10">
        <v>60.3</v>
      </c>
      <c r="F51" s="10">
        <v>51.896619829999999</v>
      </c>
      <c r="G51" s="10">
        <v>58.76</v>
      </c>
    </row>
    <row r="52" spans="2:9" ht="15" customHeight="1" x14ac:dyDescent="0.35">
      <c r="B52" s="4">
        <v>45658</v>
      </c>
      <c r="C52" s="9">
        <v>51</v>
      </c>
      <c r="D52" s="10">
        <v>50.6410256410256</v>
      </c>
      <c r="E52" s="10">
        <v>60.8</v>
      </c>
      <c r="F52" s="10">
        <v>51.374906780000003</v>
      </c>
      <c r="G52" s="10">
        <v>64.53</v>
      </c>
    </row>
    <row r="53" spans="2:9" ht="15" customHeight="1" x14ac:dyDescent="0.35">
      <c r="B53" s="4">
        <v>45689</v>
      </c>
      <c r="C53" s="11">
        <v>49.1</v>
      </c>
      <c r="D53" s="10">
        <v>51.917404129793503</v>
      </c>
      <c r="E53" s="10">
        <v>62.25</v>
      </c>
      <c r="F53" s="10">
        <v>50.117443190000003</v>
      </c>
      <c r="G53" s="10">
        <v>61.28</v>
      </c>
    </row>
    <row r="54" spans="2:9" ht="15" customHeight="1" x14ac:dyDescent="0.35">
      <c r="B54" s="4">
        <v>45717</v>
      </c>
      <c r="C54" s="11">
        <v>49.2</v>
      </c>
      <c r="D54" s="10">
        <v>50.5208333333333</v>
      </c>
      <c r="E54" s="10">
        <v>60.9</v>
      </c>
      <c r="F54" s="10">
        <v>49.337817370000003</v>
      </c>
      <c r="G54" s="10">
        <v>61.73</v>
      </c>
    </row>
    <row r="55" spans="2:9" ht="15" customHeight="1" x14ac:dyDescent="0.35">
      <c r="B55" s="4">
        <v>45748</v>
      </c>
      <c r="C55" s="10">
        <v>48</v>
      </c>
      <c r="D55" s="10">
        <v>50.819672131147499</v>
      </c>
      <c r="E55" s="10">
        <v>62.45</v>
      </c>
      <c r="F55" s="10">
        <v>48.689455410000001</v>
      </c>
      <c r="G55" s="10">
        <v>62.59</v>
      </c>
    </row>
    <row r="56" spans="2:9" ht="15" customHeight="1" x14ac:dyDescent="0.35">
      <c r="B56" s="4">
        <v>45778</v>
      </c>
      <c r="C56" s="11">
        <v>48.9</v>
      </c>
      <c r="D56" s="10">
        <v>51.881720430107499</v>
      </c>
      <c r="E56" s="10">
        <v>60.5</v>
      </c>
      <c r="F56" s="10">
        <v>48.722202770000003</v>
      </c>
      <c r="G56" s="10">
        <v>62.23</v>
      </c>
    </row>
    <row r="57" spans="2:9" ht="15" customHeight="1" x14ac:dyDescent="0.35">
      <c r="B57" s="4">
        <v>45809</v>
      </c>
      <c r="C57" s="11">
        <v>48.6</v>
      </c>
      <c r="D57" s="10">
        <v>50.4065040650407</v>
      </c>
      <c r="E57" s="10">
        <v>62</v>
      </c>
      <c r="F57" s="10">
        <v>48.623622089999998</v>
      </c>
      <c r="G57" s="10">
        <v>60.333333333333</v>
      </c>
    </row>
    <row r="58" spans="2:9" ht="15" customHeight="1" x14ac:dyDescent="0.35">
      <c r="B58" s="4">
        <v>45839</v>
      </c>
      <c r="C58" s="10">
        <v>47.3</v>
      </c>
      <c r="D58" s="10">
        <v>51.2</v>
      </c>
      <c r="E58" s="10">
        <v>63.6</v>
      </c>
      <c r="F58" s="10">
        <v>48.968333459999997</v>
      </c>
      <c r="G58" s="10">
        <v>61.616161616162</v>
      </c>
    </row>
    <row r="59" spans="2:9" ht="15" customHeight="1" x14ac:dyDescent="0.35">
      <c r="B59" s="4">
        <v>45870</v>
      </c>
      <c r="C59" s="11">
        <v>46.1</v>
      </c>
      <c r="D59" s="10">
        <v>47.899159663865497</v>
      </c>
      <c r="E59" s="10">
        <v>63.25</v>
      </c>
      <c r="F59" s="10">
        <v>49.302656720000002</v>
      </c>
      <c r="G59" s="10">
        <v>61.948529411765</v>
      </c>
    </row>
    <row r="60" spans="2:9" ht="15" customHeight="1" x14ac:dyDescent="0.35">
      <c r="B60" s="4">
        <v>45901</v>
      </c>
      <c r="C60" s="11">
        <v>46.2</v>
      </c>
      <c r="D60" s="10">
        <v>50.150150150150097</v>
      </c>
      <c r="E60" s="10">
        <v>60.2</v>
      </c>
      <c r="F60" s="10">
        <v>49.319399060000002</v>
      </c>
      <c r="G60" s="10">
        <v>64.51048951049</v>
      </c>
      <c r="I60" s="29"/>
    </row>
    <row r="61" spans="2:9" ht="15" customHeight="1" x14ac:dyDescent="0.35">
      <c r="B61" s="4">
        <v>45931</v>
      </c>
      <c r="C61" s="10">
        <v>47.2</v>
      </c>
      <c r="D61" s="10">
        <v>49.107142857142797</v>
      </c>
      <c r="E61" s="10">
        <v>61.05</v>
      </c>
      <c r="F61" s="10">
        <v>48.512275770000002</v>
      </c>
      <c r="G61" s="10">
        <v>65.734265734266</v>
      </c>
    </row>
    <row r="62" spans="2:9" ht="15" customHeight="1" x14ac:dyDescent="0.35">
      <c r="B62" s="4">
        <v>45962</v>
      </c>
      <c r="C62" s="11">
        <v>48.3</v>
      </c>
      <c r="D62" s="10">
        <v>52.066115702479301</v>
      </c>
      <c r="E62" s="10">
        <v>61.15</v>
      </c>
      <c r="F62" s="10">
        <v>48.303113629999999</v>
      </c>
      <c r="G62" s="10">
        <v>66.153846153846</v>
      </c>
    </row>
    <row r="63" spans="2:9" ht="15" customHeight="1" x14ac:dyDescent="0.35">
      <c r="B63" s="4">
        <v>45992</v>
      </c>
      <c r="C63" s="11">
        <v>48</v>
      </c>
      <c r="D63" s="10">
        <v>53.623188405797102</v>
      </c>
      <c r="E63" s="10">
        <v>58.9</v>
      </c>
      <c r="F63" s="10">
        <v>48.148130289999997</v>
      </c>
      <c r="G63" s="10">
        <v>64.561403508772</v>
      </c>
    </row>
    <row r="64" spans="2:9" ht="15" customHeight="1" x14ac:dyDescent="0.35">
      <c r="B64" s="4">
        <v>46023</v>
      </c>
      <c r="C64" s="10">
        <v>48.5</v>
      </c>
      <c r="D64" s="10">
        <v>57.614942528735597</v>
      </c>
      <c r="E64" s="10">
        <v>63</v>
      </c>
      <c r="F64" s="10">
        <v>48.004239869999999</v>
      </c>
      <c r="G64" s="10">
        <v>67.557251908397</v>
      </c>
    </row>
    <row r="65" spans="2:7" ht="15" customHeight="1" x14ac:dyDescent="0.35">
      <c r="B65" s="4">
        <v>46054</v>
      </c>
      <c r="C65" s="10">
        <v>47</v>
      </c>
      <c r="D65" s="10">
        <v>57.67</v>
      </c>
      <c r="E65" s="10">
        <v>61.3</v>
      </c>
      <c r="F65" s="10">
        <v>48.796111430000003</v>
      </c>
      <c r="G65" s="10">
        <v>62.007874015748</v>
      </c>
    </row>
    <row r="66" spans="2:7" ht="15" customHeight="1" x14ac:dyDescent="0.35">
      <c r="B66" s="4">
        <v>46082</v>
      </c>
      <c r="C66" s="10">
        <v>46.6</v>
      </c>
      <c r="D66" s="10">
        <v>53</v>
      </c>
      <c r="E66" s="10">
        <v>61.4</v>
      </c>
      <c r="F66" s="10">
        <v>48.442274099999999</v>
      </c>
      <c r="G66" s="10">
        <v>62.121212121212</v>
      </c>
    </row>
    <row r="67" spans="2:7" ht="15" customHeight="1" x14ac:dyDescent="0.35">
      <c r="B67" s="4">
        <v>46113</v>
      </c>
      <c r="C67" s="10">
        <v>45.2</v>
      </c>
      <c r="D67" s="10">
        <v>53.74</v>
      </c>
      <c r="E67" s="93">
        <v>60.9</v>
      </c>
      <c r="F67" s="10">
        <v>48.304649779999998</v>
      </c>
      <c r="G67" s="91">
        <v>56.488549618321</v>
      </c>
    </row>
    <row r="68" spans="2:7" ht="15" customHeight="1" x14ac:dyDescent="0.35">
      <c r="B68" s="4">
        <v>46143</v>
      </c>
      <c r="C68" s="91">
        <v>47.2</v>
      </c>
      <c r="D68" s="91">
        <v>51.97</v>
      </c>
      <c r="E68" s="93">
        <v>60.25</v>
      </c>
      <c r="F68" s="91">
        <v>47.8</v>
      </c>
      <c r="G68" s="91">
        <v>58.75486381323</v>
      </c>
    </row>
    <row r="69" ht="15" customHeight="1">
      <c r="B69" s="4">
        <v>46174</v>
      </c>
      <c r="C69" s="91">
        <v>46.7</v>
      </c>
      <c r="D69" s="91">
        <v>51.34</v>
      </c>
      <c r="E69" s="93">
        <v>64.3</v>
      </c>
      <c r="F69" s="91">
        <v>48</v>
      </c>
      <c r="G69" s="91">
        <v>68.374558303887</v>
      </c>
    </row>
    <row r="70" ht="15" customHeight="1">
      <c r="B70" s="4">
        <v>46204</v>
      </c>
      <c r="C70" s="91">
        <v>44.4</v>
      </c>
      <c r="D70" s="91">
        <v>50.88</v>
      </c>
      <c r="E70" s="93">
        <v>63.75</v>
      </c>
      <c r="F70" s="91">
        <v>48</v>
      </c>
      <c r="G70" s="91">
        <v>67.760617760618</v>
      </c>
    </row>
    <row r="71" ht="15" customHeight="1">
      <c r="B71" s="4">
        <v>46235</v>
      </c>
      <c r="C71" s="91">
        <v>46.3</v>
      </c>
      <c r="D71" s="91">
        <v>53.09</v>
      </c>
      <c r="E71" s="93">
        <v>61.65</v>
      </c>
      <c r="F71" s="91">
        <v>48</v>
      </c>
      <c r="G71" s="91">
        <v>67.283950617284</v>
      </c>
    </row>
    <row r="72" ht="15" customHeight="1">
      <c r="B72" s="4">
        <v>46266</v>
      </c>
      <c r="C72" s="91">
        <v>44.9</v>
      </c>
      <c r="D72" s="91">
        <v>51.8</v>
      </c>
      <c r="E72" s="12"/>
      <c r="F72" s="91">
        <v>47.9</v>
      </c>
      <c r="G72" s="91">
        <v>66.730038022814</v>
      </c>
    </row>
    <row r="73" ht="15" customHeight="1">
      <c r="B73" s="4">
        <v>46296</v>
      </c>
      <c r="C73" s="91">
        <v>46.2</v>
      </c>
      <c r="D73" s="12"/>
      <c r="E73" s="12"/>
      <c r="F73" s="12"/>
      <c r="G73" s="12"/>
    </row>
    <row r="75" spans="2:7" ht="15" customHeight="1" x14ac:dyDescent="0.35">
      <c r="B75" s="2" t="s">
        <v>80</v>
      </c>
      <c r="C75" s="37" t="s">
        <v>99</v>
      </c>
      <c r="D75" s="37"/>
      <c r="E75" s="37"/>
      <c r="F75" s="37"/>
      <c r="G75" s="37"/>
    </row>
    <row r="76" spans="2:7" ht="15" customHeight="1" x14ac:dyDescent="0.35">
      <c r="B76" s="2" t="s">
        <v>82</v>
      </c>
      <c r="C76" s="38" t="s">
        <v>100</v>
      </c>
      <c r="D76" s="38"/>
      <c r="E76" s="38"/>
      <c r="F76" s="38"/>
      <c r="G76" s="38"/>
    </row>
    <row r="77" spans="2:7" ht="15" customHeight="1" x14ac:dyDescent="0.35">
      <c r="B77" s="2" t="s">
        <v>82</v>
      </c>
      <c r="C77" s="38" t="s">
        <v>101</v>
      </c>
      <c r="D77" s="38"/>
      <c r="E77" s="38"/>
      <c r="F77" s="38"/>
      <c r="G77" s="38"/>
    </row>
    <row r="78" spans="2:7" ht="15" customHeight="1" x14ac:dyDescent="0.35">
      <c r="B78" s="2" t="s">
        <v>82</v>
      </c>
      <c r="C78" s="38" t="s">
        <v>102</v>
      </c>
      <c r="D78" s="38"/>
      <c r="E78" s="38"/>
      <c r="F78" s="38"/>
      <c r="G78" s="38"/>
    </row>
  </sheetData>
  <mergeCells count="4">
    <mergeCell ref="C75:G75"/>
    <mergeCell ref="C76:G76"/>
    <mergeCell ref="C77:G77"/>
    <mergeCell ref="C78:G78"/>
  </mergeCells>
  <conditionalFormatting sqref="C7:G20">
    <cfRule type="colorScale" priority="3">
      <colorScale>
        <cfvo type="num" val="40"/>
        <cfvo type="num" val="50"/>
        <cfvo type="num" val="70"/>
        <color rgb="FFF8696B"/>
        <color rgb="FFFFFFFF"/>
        <color rgb="FF63BE7B"/>
      </colorScale>
    </cfRule>
  </conditionalFormatting>
  <conditionalFormatting sqref="C21:G21">
    <cfRule type="colorScale" priority="1">
      <colorScale>
        <cfvo type="num" val="40"/>
        <cfvo type="num" val="50"/>
        <cfvo type="num" val="70"/>
        <color rgb="FFF8696B"/>
        <color rgb="FFFFFFFF"/>
        <color rgb="FF63BE7B"/>
      </colorScale>
    </cfRule>
  </conditionalFormatting>
  <printOptions horizontalCentered="1"/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H104"/>
  <sheetViews>
    <sheetView showGridLines="0" zoomScaleNormal="100" workbookViewId="0">
      <selection activeCell="C27" sqref="C27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6" width="12" customWidth="1"/>
  </cols>
  <sheetData>
    <row r="2" spans="2:6" ht="19.5" customHeight="1" x14ac:dyDescent="0.4">
      <c r="B2" s="62" t="s">
        <v>103</v>
      </c>
    </row>
    <row r="3" spans="2:6" ht="15" customHeight="1" x14ac:dyDescent="0.35">
      <c r="B3" s="1" t="s">
        <v>104</v>
      </c>
    </row>
    <row r="5" spans="2:6" ht="15" customHeight="1" x14ac:dyDescent="0.4">
      <c r="B5" s="77" t="s">
        <v>160</v>
      </c>
      <c r="C5" s="31"/>
      <c r="D5" s="31"/>
      <c r="E5" s="31"/>
      <c r="F5" s="31"/>
    </row>
    <row r="6" spans="2:6" ht="15" customHeight="1" x14ac:dyDescent="0.35">
      <c r="B6" s="84" t="s">
        <v>59</v>
      </c>
      <c r="C6" s="84" t="s">
        <v>60</v>
      </c>
      <c r="D6" s="84" t="s">
        <v>61</v>
      </c>
      <c r="E6" s="84" t="s">
        <v>62</v>
      </c>
      <c r="F6" s="84" t="s">
        <v>63</v>
      </c>
    </row>
    <row r="7" spans="2:6" ht="15" customHeight="1" x14ac:dyDescent="0.35">
      <c r="B7" s="70" t="s">
        <v>68</v>
      </c>
      <c r="C7" s="28">
        <f>IFERROR(IF(C80="","",C80),"")</f>
        <v>54.47</v>
      </c>
      <c r="D7" s="28">
        <f>IFERROR(IF(D80="","",D80),"")</f>
        <v>41.6</v>
      </c>
      <c r="E7" s="28">
        <f>IFERROR(IF(E80="","",E80),"")</f>
        <v>52.65</v>
      </c>
      <c r="F7" s="28">
        <f>IFERROR(IF(F80="","",F80),"")</f>
        <v>45.7155</v>
      </c>
    </row>
    <row r="8" spans="2:6" ht="15" customHeight="1" x14ac:dyDescent="0.35">
      <c r="B8" s="70" t="s">
        <v>69</v>
      </c>
      <c r="C8" s="28">
        <f>IFERROR(IF(C81="","",C81),"")</f>
        <v>55.94</v>
      </c>
      <c r="D8" s="28">
        <f>IFERROR(IF(D81="","",D81),"")</f>
        <v>44.3</v>
      </c>
      <c r="E8" s="28">
        <f>IFERROR(IF(E81="","",E81),"")</f>
        <v>48.8</v>
      </c>
      <c r="F8" s="28">
        <f>IFERROR(IF(F81="","",F81),"")</f>
        <v>46.3177</v>
      </c>
    </row>
    <row r="9" spans="2:6" ht="15" customHeight="1" x14ac:dyDescent="0.35">
      <c r="B9" s="70" t="s">
        <v>70</v>
      </c>
      <c r="C9" s="28">
        <f>IFERROR(IF(C82="","",C82),"")</f>
        <v>55.1</v>
      </c>
      <c r="D9" s="28">
        <f>IFERROR(IF(D82="","",D82),"")</f>
        <v>44</v>
      </c>
      <c r="E9" s="28">
        <f>IFERROR(IF(E82="","",E82),"")</f>
        <v>50.8</v>
      </c>
      <c r="F9" s="28">
        <f>IFERROR(IF(F82="","",F82),"")</f>
        <v>46.0462</v>
      </c>
    </row>
    <row r="10" spans="2:6" ht="15" customHeight="1" x14ac:dyDescent="0.35">
      <c r="B10" s="70" t="s">
        <v>71</v>
      </c>
      <c r="C10" s="28">
        <f>IFERROR(IF(C83="","",C83),"")</f>
        <v>56.815</v>
      </c>
      <c r="D10" s="28">
        <f>IFERROR(IF(D83="","",D83),"")</f>
        <v>43</v>
      </c>
      <c r="E10" s="28">
        <f>IFERROR(IF(E83="","",E83),"")</f>
        <v>56.8</v>
      </c>
      <c r="F10" s="28">
        <f>IFERROR(IF(F83="","",F83),"")</f>
        <v>45.6079</v>
      </c>
    </row>
    <row r="11" spans="2:6" ht="15" customHeight="1" x14ac:dyDescent="0.35">
      <c r="B11" s="70" t="s">
        <v>72</v>
      </c>
      <c r="C11" s="28">
        <f>IFERROR(IF(C84="","",C84),"")</f>
        <v>59.325</v>
      </c>
      <c r="D11" s="28">
        <f>IFERROR(IF(D84="","",D84),"")</f>
        <v>43.7</v>
      </c>
      <c r="E11" s="28">
        <f>IFERROR(IF(E84="","",E84),"")</f>
        <v>58.5</v>
      </c>
      <c r="F11" s="28">
        <f>IFERROR(IF(F84="","",F84),"")</f>
        <v>44.1459</v>
      </c>
    </row>
    <row r="12" spans="2:6" ht="15" customHeight="1" x14ac:dyDescent="0.35">
      <c r="B12" s="70" t="s">
        <v>73</v>
      </c>
      <c r="C12" s="28">
        <f>IFERROR(IF(C85="","",C85),"")</f>
        <v>62.23</v>
      </c>
      <c r="D12" s="28">
        <f>IFERROR(IF(D85="","",D85),"")</f>
        <v>49.2</v>
      </c>
      <c r="E12" s="28">
        <f>IFERROR(IF(E85="","",E85),"")</f>
        <v>59.95</v>
      </c>
      <c r="F12" s="28">
        <f>IFERROR(IF(F85="","",F85),"")</f>
        <v>44.558</v>
      </c>
    </row>
    <row r="13" spans="2:6" ht="15" customHeight="1" x14ac:dyDescent="0.35">
      <c r="B13" s="70" t="s">
        <v>74</v>
      </c>
      <c r="C13" s="28">
        <f>IFERROR(IF(C86="","",C86),"")</f>
        <v>63.695</v>
      </c>
      <c r="D13" s="28">
        <f>IFERROR(IF(D86="","",D86),"")</f>
        <v>49.4</v>
      </c>
      <c r="E13" s="28">
        <f>IFERROR(IF(E86="","",E86),"")</f>
        <v>59.1</v>
      </c>
      <c r="F13" s="28">
        <f>IFERROR(IF(F86="","",F86),"")</f>
        <v>44.0734</v>
      </c>
    </row>
    <row r="14" spans="2:6" ht="15" customHeight="1" x14ac:dyDescent="0.35">
      <c r="B14" s="70" t="s">
        <v>75</v>
      </c>
      <c r="C14" s="28">
        <f>IFERROR(IF(C87="","",C87),"")</f>
        <v>63.695</v>
      </c>
      <c r="D14" s="28">
        <f>IFERROR(IF(D87="","",D87),"")</f>
        <v>50.3</v>
      </c>
      <c r="E14" s="28">
        <f>IFERROR(IF(E87="","",E87),"")</f>
        <v>59.15</v>
      </c>
      <c r="F14" s="28">
        <f>IFERROR(IF(F87="","",F87),"")</f>
        <v>44.4274</v>
      </c>
    </row>
    <row r="15" spans="2:6" ht="15" customHeight="1" x14ac:dyDescent="0.35">
      <c r="B15" s="70" t="s">
        <v>76</v>
      </c>
      <c r="C15" s="28">
        <f>IFERROR(IF(C88="","",C88),"")</f>
        <v>62.935</v>
      </c>
      <c r="D15" s="28">
        <f>IFERROR(IF(D88="","",D88),"")</f>
        <v>48.8</v>
      </c>
      <c r="E15" s="28">
        <f>IFERROR(IF(E88="","",E88),"")</f>
        <v>59.65</v>
      </c>
      <c r="F15" s="28">
        <f>IFERROR(IF(F88="","",F88),"")</f>
        <v>44.1889</v>
      </c>
    </row>
    <row r="16" spans="2:6" ht="15" customHeight="1" x14ac:dyDescent="0.35">
      <c r="B16" s="70" t="s">
        <v>253</v>
      </c>
      <c r="C16" s="28">
        <f>IFERROR(IF(C89="","",C89),"")</f>
        <v>60.53</v>
      </c>
      <c r="D16" s="28">
        <f>IFERROR(IF(D89="","",D89),"")</f>
        <v>41.3</v>
      </c>
      <c r="E16" s="28">
        <f>IFERROR(IF(E89="","",E89),"")</f>
        <v>56.85</v>
      </c>
      <c r="F16" s="28">
        <f>IFERROR(IF(F89="","",F89),"")</f>
        <v>44.4029</v>
      </c>
    </row>
    <row r="17" spans="2:8" ht="15" customHeight="1" x14ac:dyDescent="0.35">
      <c r="B17" s="70" t="s">
        <v>254</v>
      </c>
      <c r="C17" s="28">
        <f>IFERROR(IF(C90="","",C90),"")</f>
        <v>60.275</v>
      </c>
      <c r="D17" s="28">
        <f>IFERROR(IF(D90="","",D90),"")</f>
        <v>40.9</v>
      </c>
      <c r="E17" s="28">
        <f>IFERROR(IF(E90="","",E90),"")</f>
        <v>58.9</v>
      </c>
      <c r="F17" s="28">
        <f>IFERROR(IF(F90="","",F90),"")</f>
        <v>43.6544</v>
      </c>
    </row>
    <row r="18" spans="2:8" ht="15" customHeight="1" x14ac:dyDescent="0.35">
      <c r="B18" s="70" t="s">
        <v>255</v>
      </c>
      <c r="C18" s="28">
        <f>IFERROR(IF(C91="","",C91),"")</f>
        <v>62.035</v>
      </c>
      <c r="D18" s="28">
        <f>IFERROR(IF(D91="","",D91),"")</f>
        <v>41.2</v>
      </c>
      <c r="E18" s="28">
        <f>IFERROR(IF(E91="","",E91),"")</f>
        <v>62.15</v>
      </c>
      <c r="F18" s="28">
        <f>IFERROR(IF(F91="","",F91),"")</f>
        <v>43.929</v>
      </c>
    </row>
    <row r="19" spans="2:8" ht="15" customHeight="1" x14ac:dyDescent="0.35">
      <c r="B19" s="70" t="s">
        <v>256</v>
      </c>
      <c r="C19" s="28">
        <f>IFERROR(IF(C92="","",C92),"")</f>
        <v>60.8</v>
      </c>
      <c r="D19" s="28">
        <f>IFERROR(IF(D92="","",D92),"")</f>
        <v>42</v>
      </c>
      <c r="E19" s="28">
        <f>IFERROR(IF(E92="","",E92),"")</f>
        <v>60.35</v>
      </c>
      <c r="F19" s="28">
        <f>IFERROR(IF(F92="","",F92),"")</f>
        <v>44.9905</v>
      </c>
    </row>
    <row r="20" spans="2:8" ht="15" customHeight="1" x14ac:dyDescent="0.35">
      <c r="B20" s="74" t="s">
        <v>257</v>
      </c>
      <c r="C20" s="28">
        <f>IFERROR(IF(C93="","",C93),"")</f>
        <v>60.42</v>
      </c>
      <c r="D20" s="28">
        <f>IFERROR(IF(D93="","",D93),"")</f>
        <v>38.1</v>
      </c>
      <c r="E20" s="28">
        <f>IFERROR(IF(E93="","",E93),"")</f>
        <v>57.75</v>
      </c>
      <c r="F20" s="28">
        <f>IFERROR(IF(F93="","",F93),"")</f>
        <v>46.2925</v>
      </c>
    </row>
    <row r="21" spans="2:8" ht="15" customHeight="1" thickBot="1" x14ac:dyDescent="0.4">
      <c r="B21" s="74" t="s">
        <v>258</v>
      </c>
      <c r="C21" s="28" t="str">
        <f>IFERROR(IF(C94="","",C94),"")</f>
        <v/>
      </c>
      <c r="D21" s="28">
        <f>IFERROR(IF(D94="","",D94),"")</f>
        <v>40.5</v>
      </c>
      <c r="E21" s="28">
        <f>IFERROR(IF(E94="","",E94),"")</f>
        <v>57.85</v>
      </c>
      <c r="F21" s="28">
        <f>IFERROR(IF(F94="","",F94),"")</f>
        <v>45.0722</v>
      </c>
    </row>
    <row r="22" spans="2:8" ht="15" customHeight="1" thickBot="1" x14ac:dyDescent="0.4">
      <c r="B22" s="71" t="s">
        <v>77</v>
      </c>
      <c r="C22" s="75">
        <f>IFERROR(AVERAGE(C10:C21),"")</f>
        <v>61.15954545454545</v>
      </c>
      <c r="D22" s="75">
        <f>IFERROR(AVERAGE(D10:D21),"")</f>
        <v>44.03333333333333</v>
      </c>
      <c r="E22" s="75">
        <f>IFERROR(AVERAGE(E10:E21),"")</f>
        <v>58.916666666666664</v>
      </c>
      <c r="F22" s="76">
        <f>IFERROR(AVERAGE(F10:F21),"")</f>
        <v>44.611916666666666</v>
      </c>
    </row>
    <row r="25" spans="2:8" ht="15" customHeight="1" x14ac:dyDescent="0.35">
      <c r="B25" s="63" t="s">
        <v>78</v>
      </c>
    </row>
    <row r="26" spans="2:8" ht="15" customHeight="1" x14ac:dyDescent="0.35">
      <c r="B26" s="61" t="s">
        <v>79</v>
      </c>
      <c r="C26" s="61" t="s">
        <v>60</v>
      </c>
      <c r="D26" s="61" t="s">
        <v>61</v>
      </c>
      <c r="E26" s="61" t="s">
        <v>62</v>
      </c>
      <c r="F26" s="61" t="s">
        <v>63</v>
      </c>
    </row>
    <row r="27" spans="2:8" ht="15" customHeight="1" x14ac:dyDescent="0.35">
      <c r="B27" s="4">
        <v>44228</v>
      </c>
      <c r="C27" s="10">
        <v>58.115000000000002</v>
      </c>
      <c r="D27" s="10">
        <v>38.470100000000002</v>
      </c>
      <c r="E27" s="10">
        <v>42.7</v>
      </c>
      <c r="F27" s="10">
        <v>38.974256791400002</v>
      </c>
      <c r="H27" s="30"/>
    </row>
    <row r="28" spans="2:8" ht="15" customHeight="1" x14ac:dyDescent="0.35">
      <c r="B28" s="4">
        <v>44256</v>
      </c>
      <c r="C28" s="10">
        <v>56.45</v>
      </c>
      <c r="D28" s="10">
        <v>42.399900000000002</v>
      </c>
      <c r="E28" s="10">
        <v>44.3</v>
      </c>
      <c r="F28" s="10">
        <v>40.734070382100001</v>
      </c>
      <c r="H28" s="30"/>
    </row>
    <row r="29" spans="2:8" ht="15" customHeight="1" x14ac:dyDescent="0.35">
      <c r="B29" s="4">
        <v>44287</v>
      </c>
      <c r="C29" s="10">
        <v>52.475000000000001</v>
      </c>
      <c r="D29" s="10">
        <v>32.590000000000003</v>
      </c>
      <c r="E29" s="10">
        <v>32.9</v>
      </c>
      <c r="F29" s="10">
        <v>42.238554823800001</v>
      </c>
      <c r="H29" s="30"/>
    </row>
    <row r="30" spans="2:8" ht="15" customHeight="1" x14ac:dyDescent="0.35">
      <c r="B30" s="4">
        <v>44317</v>
      </c>
      <c r="C30" s="10">
        <v>52.95</v>
      </c>
      <c r="D30" s="10">
        <v>39.702199999999998</v>
      </c>
      <c r="E30" s="10">
        <v>32.85</v>
      </c>
      <c r="F30" s="10">
        <v>42.637518868100003</v>
      </c>
      <c r="H30" s="30"/>
    </row>
    <row r="31" spans="2:8" ht="15" customHeight="1" x14ac:dyDescent="0.35">
      <c r="B31" s="4">
        <v>44348</v>
      </c>
      <c r="C31" s="10">
        <v>53.66</v>
      </c>
      <c r="D31" s="10">
        <v>40.161999999999999</v>
      </c>
      <c r="E31" s="10">
        <v>38.85</v>
      </c>
      <c r="F31" s="10">
        <v>43.910725626800001</v>
      </c>
      <c r="H31" s="30"/>
    </row>
    <row r="32" spans="2:8" ht="15" customHeight="1" x14ac:dyDescent="0.35">
      <c r="B32" s="4">
        <v>44378</v>
      </c>
      <c r="C32" s="10">
        <v>55.49</v>
      </c>
      <c r="D32" s="10">
        <v>41.308399999999999</v>
      </c>
      <c r="E32" s="10">
        <v>46.25</v>
      </c>
      <c r="F32" s="10">
        <v>44.240729468300003</v>
      </c>
      <c r="H32" s="30"/>
    </row>
    <row r="33" spans="2:8" ht="15" customHeight="1" x14ac:dyDescent="0.35">
      <c r="B33" s="4">
        <v>44409</v>
      </c>
      <c r="C33" s="10">
        <v>55.994999999999997</v>
      </c>
      <c r="D33" s="10">
        <v>49.105699999999999</v>
      </c>
      <c r="E33" s="10">
        <v>45.9</v>
      </c>
      <c r="F33" s="10">
        <v>42.961410868500003</v>
      </c>
      <c r="H33" s="30"/>
    </row>
    <row r="34" spans="2:8" ht="15" customHeight="1" x14ac:dyDescent="0.35">
      <c r="B34" s="4">
        <v>44440</v>
      </c>
      <c r="C34" s="10">
        <v>57.33</v>
      </c>
      <c r="D34" s="10">
        <v>47.091799999999999</v>
      </c>
      <c r="E34" s="10">
        <v>48.5</v>
      </c>
      <c r="F34" s="10">
        <v>43.6871000529</v>
      </c>
      <c r="H34" s="30"/>
    </row>
    <row r="35" spans="2:8" ht="15" customHeight="1" x14ac:dyDescent="0.35">
      <c r="B35" s="4">
        <v>44470</v>
      </c>
      <c r="C35" s="10">
        <v>54.685000000000002</v>
      </c>
      <c r="D35" s="10">
        <v>45.218899999999998</v>
      </c>
      <c r="E35" s="10">
        <v>49.35</v>
      </c>
      <c r="F35" s="10">
        <v>43.8531835876</v>
      </c>
      <c r="H35" s="30"/>
    </row>
    <row r="36" spans="2:8" ht="15" customHeight="1" x14ac:dyDescent="0.35">
      <c r="B36" s="4">
        <v>44501</v>
      </c>
      <c r="C36" s="10">
        <v>54.674999999999997</v>
      </c>
      <c r="D36" s="10">
        <v>40.288400000000003</v>
      </c>
      <c r="E36" s="10">
        <v>49.3</v>
      </c>
      <c r="F36" s="10">
        <v>46.199807096299999</v>
      </c>
      <c r="H36" s="30"/>
    </row>
    <row r="37" spans="2:8" ht="15" customHeight="1" x14ac:dyDescent="0.35">
      <c r="B37" s="4">
        <v>44531</v>
      </c>
      <c r="C37" s="10">
        <v>56</v>
      </c>
      <c r="D37" s="10">
        <v>45.354500000000002</v>
      </c>
      <c r="E37" s="10">
        <v>46.5</v>
      </c>
      <c r="F37" s="10">
        <v>44.396749491199998</v>
      </c>
      <c r="H37" s="30"/>
    </row>
    <row r="38" spans="2:8" ht="15" customHeight="1" x14ac:dyDescent="0.35">
      <c r="B38" s="4">
        <v>44562</v>
      </c>
      <c r="C38" s="10">
        <v>54.174999999999997</v>
      </c>
      <c r="D38" s="10">
        <v>46.630499999999998</v>
      </c>
      <c r="E38" s="10">
        <v>43.25</v>
      </c>
      <c r="F38" s="10">
        <v>43.094636534800003</v>
      </c>
      <c r="H38" s="30"/>
    </row>
    <row r="39" spans="2:8" ht="15" customHeight="1" x14ac:dyDescent="0.35">
      <c r="B39" s="4">
        <v>44593</v>
      </c>
      <c r="C39" s="10">
        <v>52.024999999999999</v>
      </c>
      <c r="D39" s="10">
        <v>43.707799999999999</v>
      </c>
      <c r="E39" s="10">
        <v>41.25</v>
      </c>
      <c r="F39" s="10">
        <v>43.2078244928</v>
      </c>
      <c r="H39" s="30"/>
    </row>
    <row r="40" spans="2:8" ht="15" customHeight="1" x14ac:dyDescent="0.35">
      <c r="B40" s="4">
        <v>44621</v>
      </c>
      <c r="C40" s="10">
        <v>52.56</v>
      </c>
      <c r="D40" s="10">
        <v>39.980600000000003</v>
      </c>
      <c r="E40" s="10">
        <v>41.1</v>
      </c>
      <c r="F40" s="10">
        <v>43.647073091700001</v>
      </c>
      <c r="H40" s="30"/>
    </row>
    <row r="41" spans="2:8" ht="15" customHeight="1" x14ac:dyDescent="0.35">
      <c r="B41" s="4">
        <v>44652</v>
      </c>
      <c r="C41" s="10">
        <v>52.174999999999997</v>
      </c>
      <c r="D41" s="10">
        <v>41.315600000000003</v>
      </c>
      <c r="E41" s="10">
        <v>41.25</v>
      </c>
      <c r="F41" s="10">
        <v>44.029084395300004</v>
      </c>
      <c r="H41" s="30"/>
    </row>
    <row r="42" spans="2:8" ht="15" customHeight="1" x14ac:dyDescent="0.35">
      <c r="B42" s="4">
        <v>44682</v>
      </c>
      <c r="C42" s="10">
        <v>52.935000000000002</v>
      </c>
      <c r="D42" s="10">
        <v>39.501300000000001</v>
      </c>
      <c r="E42" s="10">
        <v>42.65</v>
      </c>
      <c r="F42" s="10">
        <v>44.022414371000004</v>
      </c>
      <c r="H42" s="30"/>
    </row>
    <row r="43" spans="2:8" ht="15" customHeight="1" x14ac:dyDescent="0.35">
      <c r="B43" s="4">
        <v>44713</v>
      </c>
      <c r="C43" s="10">
        <v>51.8</v>
      </c>
      <c r="D43" s="10">
        <v>39.336399999999998</v>
      </c>
      <c r="E43" s="10">
        <v>51.45</v>
      </c>
      <c r="F43" s="10">
        <v>42.758910086900002</v>
      </c>
      <c r="H43" s="30"/>
    </row>
    <row r="44" spans="2:8" ht="15" customHeight="1" x14ac:dyDescent="0.35">
      <c r="B44" s="4">
        <v>44743</v>
      </c>
      <c r="C44" s="10">
        <v>52.79</v>
      </c>
      <c r="D44" s="10">
        <v>35.517899999999997</v>
      </c>
      <c r="E44" s="10">
        <v>44.8</v>
      </c>
      <c r="F44" s="10">
        <v>41.262309792300002</v>
      </c>
      <c r="H44" s="30"/>
    </row>
    <row r="45" spans="2:8" ht="15" customHeight="1" x14ac:dyDescent="0.35">
      <c r="B45" s="4">
        <v>44774</v>
      </c>
      <c r="C45" s="10">
        <v>53.38</v>
      </c>
      <c r="D45" s="10">
        <v>38.860199999999999</v>
      </c>
      <c r="E45" s="10">
        <v>48.8</v>
      </c>
      <c r="F45" s="10">
        <v>40.7810241241</v>
      </c>
      <c r="H45" s="30"/>
    </row>
    <row r="46" spans="2:8" ht="15" customHeight="1" x14ac:dyDescent="0.35">
      <c r="B46" s="4">
        <v>44805</v>
      </c>
      <c r="C46" s="10">
        <v>55.73</v>
      </c>
      <c r="D46" s="10">
        <v>36.990099999999998</v>
      </c>
      <c r="E46" s="10">
        <v>44.25</v>
      </c>
      <c r="F46" s="10">
        <v>41.131590845200002</v>
      </c>
      <c r="H46" s="30"/>
    </row>
    <row r="47" spans="2:8" ht="15" customHeight="1" x14ac:dyDescent="0.35">
      <c r="B47" s="4">
        <v>44835</v>
      </c>
      <c r="C47" s="10">
        <v>57.115000000000002</v>
      </c>
      <c r="D47" s="10">
        <v>38.1999</v>
      </c>
      <c r="E47" s="10">
        <v>40.25</v>
      </c>
      <c r="F47" s="10">
        <v>41.357728617699998</v>
      </c>
      <c r="H47" s="30"/>
    </row>
    <row r="48" spans="2:8" ht="15" customHeight="1" x14ac:dyDescent="0.35">
      <c r="B48" s="4">
        <v>44866</v>
      </c>
      <c r="C48" s="10">
        <v>58.395000000000003</v>
      </c>
      <c r="D48" s="10">
        <v>36.6492</v>
      </c>
      <c r="E48" s="10">
        <v>37.6</v>
      </c>
      <c r="F48" s="10">
        <v>41.9593398763</v>
      </c>
      <c r="H48" s="30"/>
    </row>
    <row r="49" spans="2:8" ht="15" customHeight="1" x14ac:dyDescent="0.35">
      <c r="B49" s="4">
        <v>44896</v>
      </c>
      <c r="C49" s="10">
        <v>61.42</v>
      </c>
      <c r="D49" s="10">
        <v>39.161000000000001</v>
      </c>
      <c r="E49" s="10">
        <v>38.85</v>
      </c>
      <c r="F49" s="10">
        <v>42.842864296400002</v>
      </c>
      <c r="H49" s="30"/>
    </row>
    <row r="50" spans="2:8" ht="15" customHeight="1" x14ac:dyDescent="0.35">
      <c r="B50" s="4">
        <v>44927</v>
      </c>
      <c r="C50" s="10">
        <v>62.69</v>
      </c>
      <c r="D50" s="10">
        <v>38.892200000000003</v>
      </c>
      <c r="E50" s="10">
        <v>35.700000000000003</v>
      </c>
      <c r="F50" s="10">
        <v>44.774005908793619</v>
      </c>
      <c r="H50" s="30"/>
    </row>
    <row r="51" spans="2:8" ht="15" customHeight="1" x14ac:dyDescent="0.35">
      <c r="B51" s="4">
        <v>44958</v>
      </c>
      <c r="C51" s="10">
        <v>64.39</v>
      </c>
      <c r="D51" s="10">
        <v>36.867699999999999</v>
      </c>
      <c r="E51" s="10">
        <v>36.1</v>
      </c>
      <c r="F51" s="10">
        <v>44.648579360698086</v>
      </c>
      <c r="H51" s="30"/>
    </row>
    <row r="52" spans="2:8" ht="15" customHeight="1" x14ac:dyDescent="0.35">
      <c r="B52" s="4">
        <v>44986</v>
      </c>
      <c r="C52" s="10">
        <v>63.71</v>
      </c>
      <c r="D52" s="10">
        <v>41.5</v>
      </c>
      <c r="E52" s="10">
        <v>35.75</v>
      </c>
      <c r="F52" s="10">
        <v>44.497504601820523</v>
      </c>
      <c r="H52" s="30"/>
    </row>
    <row r="53" spans="2:8" ht="15" customHeight="1" x14ac:dyDescent="0.35">
      <c r="B53" s="4">
        <v>45017</v>
      </c>
      <c r="C53" s="10">
        <v>62.55</v>
      </c>
      <c r="D53" s="10">
        <v>39.292869253526398</v>
      </c>
      <c r="E53" s="10">
        <v>35.6</v>
      </c>
      <c r="F53" s="10">
        <v>44.604057252019366</v>
      </c>
      <c r="H53" s="30"/>
    </row>
    <row r="54" spans="2:8" ht="15" customHeight="1" x14ac:dyDescent="0.35">
      <c r="B54" s="4">
        <v>45047</v>
      </c>
      <c r="C54" s="10">
        <v>61.11</v>
      </c>
      <c r="D54" s="10">
        <v>38.868400000000001</v>
      </c>
      <c r="E54" s="10">
        <v>38.6</v>
      </c>
      <c r="F54" s="10">
        <v>44.67242033426259</v>
      </c>
      <c r="H54" s="30"/>
    </row>
    <row r="55" spans="2:8" ht="15" customHeight="1" x14ac:dyDescent="0.35">
      <c r="B55" s="4">
        <v>45078</v>
      </c>
      <c r="C55" s="10">
        <v>62.634999999999998</v>
      </c>
      <c r="D55" s="10">
        <v>39.9</v>
      </c>
      <c r="E55" s="10">
        <v>42.95</v>
      </c>
      <c r="F55" s="10">
        <v>45.900081964232591</v>
      </c>
      <c r="H55" s="30"/>
    </row>
    <row r="56" spans="2:8" ht="15" customHeight="1" x14ac:dyDescent="0.35">
      <c r="B56" s="4">
        <v>45108</v>
      </c>
      <c r="C56" s="10">
        <v>62.23</v>
      </c>
      <c r="D56" s="10">
        <v>41.009799999999998</v>
      </c>
      <c r="E56" s="10">
        <v>41.3</v>
      </c>
      <c r="F56" s="10">
        <v>46.382665573226191</v>
      </c>
      <c r="H56" s="30"/>
    </row>
    <row r="57" spans="2:8" ht="15" customHeight="1" x14ac:dyDescent="0.35">
      <c r="B57" s="4">
        <v>45139</v>
      </c>
      <c r="C57" s="10">
        <v>65.510000000000005</v>
      </c>
      <c r="D57" s="10">
        <v>39.521299999999997</v>
      </c>
      <c r="E57" s="10">
        <v>40.6</v>
      </c>
      <c r="F57" s="10">
        <v>46.082397318317241</v>
      </c>
      <c r="H57" s="30"/>
    </row>
    <row r="58" spans="2:8" ht="15" customHeight="1" x14ac:dyDescent="0.35">
      <c r="B58" s="4">
        <v>45170</v>
      </c>
      <c r="C58" s="10">
        <v>66.319999999999993</v>
      </c>
      <c r="D58" s="10">
        <v>41.429099999999998</v>
      </c>
      <c r="E58" s="10">
        <v>41.05</v>
      </c>
      <c r="F58" s="10">
        <v>46.378813796553494</v>
      </c>
      <c r="H58" s="30"/>
    </row>
    <row r="59" spans="2:8" ht="15" customHeight="1" x14ac:dyDescent="0.35">
      <c r="B59" s="4">
        <v>45200</v>
      </c>
      <c r="C59" s="10">
        <v>66.375</v>
      </c>
      <c r="D59" s="10">
        <v>42.527799999999999</v>
      </c>
      <c r="E59" s="10">
        <v>43</v>
      </c>
      <c r="F59" s="10">
        <v>45.669149771776041</v>
      </c>
      <c r="H59" s="30"/>
    </row>
    <row r="60" spans="2:8" ht="15" customHeight="1" x14ac:dyDescent="0.35">
      <c r="B60" s="4">
        <v>45231</v>
      </c>
      <c r="C60" s="10">
        <v>64.87</v>
      </c>
      <c r="D60" s="10">
        <v>43.039700000000003</v>
      </c>
      <c r="E60" s="10">
        <v>39.549999999999997</v>
      </c>
      <c r="F60" s="10">
        <v>46.899020937591459</v>
      </c>
      <c r="H60" s="30"/>
    </row>
    <row r="61" spans="2:8" ht="15" customHeight="1" x14ac:dyDescent="0.35">
      <c r="B61" s="4">
        <v>45261</v>
      </c>
      <c r="C61" s="10">
        <v>66.73</v>
      </c>
      <c r="D61" s="10">
        <v>39.9054</v>
      </c>
      <c r="E61" s="10">
        <v>41.35</v>
      </c>
      <c r="F61" s="10">
        <v>47.18588914399389</v>
      </c>
      <c r="H61" s="30"/>
    </row>
    <row r="62" spans="2:8" ht="15" customHeight="1" x14ac:dyDescent="0.35">
      <c r="B62" s="4">
        <v>45292</v>
      </c>
      <c r="C62" s="10">
        <v>66.625</v>
      </c>
      <c r="D62" s="10">
        <v>43.808599999999998</v>
      </c>
      <c r="E62" s="10">
        <v>46.05</v>
      </c>
      <c r="F62" s="10">
        <v>47.571614440638328</v>
      </c>
      <c r="H62" s="30"/>
    </row>
    <row r="63" spans="2:8" ht="15" customHeight="1" x14ac:dyDescent="0.35">
      <c r="B63" s="4">
        <v>45323</v>
      </c>
      <c r="C63" s="10">
        <v>69.11</v>
      </c>
      <c r="D63" s="10">
        <v>43.155000000000001</v>
      </c>
      <c r="E63" s="10">
        <v>45.3</v>
      </c>
      <c r="F63" s="10">
        <v>47.125446530713567</v>
      </c>
      <c r="H63" s="30"/>
    </row>
    <row r="64" spans="2:8" ht="15" customHeight="1" x14ac:dyDescent="0.35">
      <c r="B64" s="4">
        <v>45352</v>
      </c>
      <c r="C64" s="10">
        <v>66.260000000000005</v>
      </c>
      <c r="D64" s="10">
        <v>42.218400000000003</v>
      </c>
      <c r="E64" s="10">
        <v>43.5</v>
      </c>
      <c r="F64" s="10">
        <v>47.377012181659858</v>
      </c>
      <c r="H64" s="30"/>
    </row>
    <row r="65" spans="2:8" ht="15" customHeight="1" x14ac:dyDescent="0.35">
      <c r="B65" s="4">
        <v>45383</v>
      </c>
      <c r="C65" s="10">
        <v>64.795000000000002</v>
      </c>
      <c r="D65" s="10">
        <v>42.776400000000002</v>
      </c>
      <c r="E65" s="10">
        <v>44.3</v>
      </c>
      <c r="F65" s="10">
        <v>47.734665663569878</v>
      </c>
      <c r="H65" s="30"/>
    </row>
    <row r="66" spans="2:8" ht="15" customHeight="1" x14ac:dyDescent="0.35">
      <c r="B66" s="4">
        <v>45413</v>
      </c>
      <c r="C66" s="10">
        <v>63.23</v>
      </c>
      <c r="D66" s="10">
        <v>39.6</v>
      </c>
      <c r="E66" s="10">
        <v>42.95</v>
      </c>
      <c r="F66" s="10">
        <v>46.695694705174034</v>
      </c>
      <c r="H66" s="30"/>
    </row>
    <row r="67" spans="2:8" ht="15" customHeight="1" x14ac:dyDescent="0.35">
      <c r="B67" s="4">
        <v>45444</v>
      </c>
      <c r="C67" s="10">
        <v>63.524999999999999</v>
      </c>
      <c r="D67" s="10">
        <v>42.690199999999997</v>
      </c>
      <c r="E67" s="10">
        <v>43.65</v>
      </c>
      <c r="F67" s="10">
        <v>48.053007238749601</v>
      </c>
      <c r="H67" s="30"/>
    </row>
    <row r="68" spans="2:8" ht="15" customHeight="1" x14ac:dyDescent="0.35">
      <c r="B68" s="4">
        <v>45474</v>
      </c>
      <c r="C68" s="10">
        <v>63.89</v>
      </c>
      <c r="D68" s="10">
        <v>40.7986</v>
      </c>
      <c r="E68" s="10">
        <v>45.5</v>
      </c>
      <c r="F68" s="10">
        <v>46.966746692724165</v>
      </c>
      <c r="H68" s="30"/>
    </row>
    <row r="69" spans="2:8" ht="15" customHeight="1" x14ac:dyDescent="0.35">
      <c r="B69" s="4">
        <v>45505</v>
      </c>
      <c r="C69" s="10">
        <v>63.634999999999998</v>
      </c>
      <c r="D69" s="10">
        <v>41.026400000000002</v>
      </c>
      <c r="E69" s="10">
        <v>42.35</v>
      </c>
      <c r="F69" s="10">
        <v>46.993258614232275</v>
      </c>
      <c r="H69" s="30"/>
    </row>
    <row r="70" spans="2:8" ht="15" customHeight="1" x14ac:dyDescent="0.35">
      <c r="B70" s="4">
        <v>45536</v>
      </c>
      <c r="C70" s="10">
        <v>61.615000000000002</v>
      </c>
      <c r="D70" s="10">
        <v>40.965299999999999</v>
      </c>
      <c r="E70" s="10">
        <v>42</v>
      </c>
      <c r="F70" s="10">
        <v>46.56533712615807</v>
      </c>
      <c r="H70" s="30"/>
    </row>
    <row r="71" spans="2:8" ht="15" customHeight="1" x14ac:dyDescent="0.35">
      <c r="B71" s="4">
        <v>45566</v>
      </c>
      <c r="C71" s="10">
        <v>60.484999999999999</v>
      </c>
      <c r="D71" s="10">
        <v>43.380899999999997</v>
      </c>
      <c r="E71" s="10">
        <v>48.15</v>
      </c>
      <c r="F71" s="10">
        <v>48.897877633122164</v>
      </c>
      <c r="H71" s="30"/>
    </row>
    <row r="72" spans="2:8" ht="15" customHeight="1" x14ac:dyDescent="0.35">
      <c r="B72" s="4">
        <v>45597</v>
      </c>
      <c r="C72" s="10">
        <v>61.965000000000003</v>
      </c>
      <c r="D72" s="10">
        <v>41.878726913134599</v>
      </c>
      <c r="E72" s="10">
        <v>47.15</v>
      </c>
      <c r="F72" s="10">
        <v>47.442950378911924</v>
      </c>
      <c r="H72" s="30"/>
    </row>
    <row r="73" spans="2:8" ht="15" customHeight="1" x14ac:dyDescent="0.35">
      <c r="B73" s="4">
        <v>45627</v>
      </c>
      <c r="C73" s="10">
        <v>62.81</v>
      </c>
      <c r="D73" s="10">
        <v>41.888100000000001</v>
      </c>
      <c r="E73" s="10">
        <v>48.3</v>
      </c>
      <c r="F73" s="10">
        <v>47.270034347409236</v>
      </c>
      <c r="H73" s="30"/>
    </row>
    <row r="74" spans="2:8" ht="15" customHeight="1" x14ac:dyDescent="0.35">
      <c r="B74" s="4">
        <v>45658</v>
      </c>
      <c r="C74" s="10">
        <v>61.755000000000003</v>
      </c>
      <c r="D74" s="10">
        <v>43.3</v>
      </c>
      <c r="E74" s="10">
        <v>49.45</v>
      </c>
      <c r="F74" s="10">
        <v>46.7842</v>
      </c>
      <c r="H74" s="30"/>
    </row>
    <row r="75" spans="2:8" ht="15" customHeight="1" x14ac:dyDescent="0.35">
      <c r="B75" s="4">
        <v>45689</v>
      </c>
      <c r="C75" s="10">
        <v>60.24</v>
      </c>
      <c r="D75" s="10">
        <v>45.4</v>
      </c>
      <c r="E75" s="10">
        <v>44</v>
      </c>
      <c r="F75" s="10">
        <v>46.4138</v>
      </c>
      <c r="H75" s="30"/>
    </row>
    <row r="76" spans="2:8" ht="15" customHeight="1" x14ac:dyDescent="0.35">
      <c r="B76" s="4">
        <v>45717</v>
      </c>
      <c r="C76" s="10">
        <v>57.604999999999997</v>
      </c>
      <c r="D76" s="10">
        <v>40.8</v>
      </c>
      <c r="E76" s="10">
        <v>46.45</v>
      </c>
      <c r="F76" s="10">
        <v>46.1627</v>
      </c>
      <c r="H76" s="30"/>
    </row>
    <row r="77" spans="2:8" ht="15" customHeight="1" x14ac:dyDescent="0.35">
      <c r="B77" s="4">
        <v>45748</v>
      </c>
      <c r="C77" s="10">
        <v>55.505000000000003</v>
      </c>
      <c r="D77" s="10">
        <v>43.1</v>
      </c>
      <c r="E77" s="10">
        <v>45.7</v>
      </c>
      <c r="F77" s="10">
        <v>45.4925</v>
      </c>
      <c r="H77" s="30"/>
    </row>
    <row r="78" spans="2:8" ht="15" customHeight="1" x14ac:dyDescent="0.35">
      <c r="B78" s="4">
        <v>45778</v>
      </c>
      <c r="C78" s="10">
        <v>55.865000000000002</v>
      </c>
      <c r="D78" s="10">
        <v>41.7</v>
      </c>
      <c r="E78" s="10">
        <v>48.1</v>
      </c>
      <c r="F78" s="10">
        <v>47.0813</v>
      </c>
      <c r="H78" s="30"/>
    </row>
    <row r="79" spans="2:8" ht="15" customHeight="1" x14ac:dyDescent="0.35">
      <c r="B79" s="4">
        <v>45809</v>
      </c>
      <c r="C79" s="10">
        <v>56.445</v>
      </c>
      <c r="D79" s="10">
        <v>42.7</v>
      </c>
      <c r="E79" s="10">
        <v>51.1</v>
      </c>
      <c r="F79" s="10">
        <v>45.6721</v>
      </c>
      <c r="H79" s="30"/>
    </row>
    <row r="80" spans="2:8" ht="15" customHeight="1" x14ac:dyDescent="0.35">
      <c r="B80" s="4">
        <v>45839</v>
      </c>
      <c r="C80" s="10">
        <v>54.47</v>
      </c>
      <c r="D80" s="10">
        <v>41.6</v>
      </c>
      <c r="E80" s="10">
        <v>52.65</v>
      </c>
      <c r="F80" s="10">
        <v>45.7155</v>
      </c>
      <c r="H80" s="30"/>
    </row>
    <row r="81" spans="2:8" ht="15" customHeight="1" x14ac:dyDescent="0.35">
      <c r="B81" s="4">
        <v>45870</v>
      </c>
      <c r="C81" s="10">
        <v>55.94</v>
      </c>
      <c r="D81" s="10">
        <v>44.3</v>
      </c>
      <c r="E81" s="10">
        <v>48.8</v>
      </c>
      <c r="F81" s="10">
        <v>46.3177</v>
      </c>
      <c r="H81" s="30"/>
    </row>
    <row r="82" spans="2:8" ht="15" customHeight="1" x14ac:dyDescent="0.35">
      <c r="B82" s="4">
        <v>45901</v>
      </c>
      <c r="C82" s="10">
        <v>55.1</v>
      </c>
      <c r="D82" s="10">
        <v>44</v>
      </c>
      <c r="E82" s="10">
        <v>50.8</v>
      </c>
      <c r="F82" s="10">
        <v>46.0462</v>
      </c>
      <c r="H82" s="30"/>
    </row>
    <row r="83" spans="2:8" ht="15" customHeight="1" x14ac:dyDescent="0.35">
      <c r="B83" s="4">
        <v>45931</v>
      </c>
      <c r="C83" s="10">
        <v>56.815</v>
      </c>
      <c r="D83" s="10">
        <v>43</v>
      </c>
      <c r="E83" s="10">
        <v>56.8</v>
      </c>
      <c r="F83" s="10">
        <v>45.6079</v>
      </c>
      <c r="H83" s="30"/>
    </row>
    <row r="84" spans="2:8" ht="15" customHeight="1" x14ac:dyDescent="0.35">
      <c r="B84" s="4">
        <v>45962</v>
      </c>
      <c r="C84" s="10">
        <v>59.325</v>
      </c>
      <c r="D84" s="10">
        <v>43.7</v>
      </c>
      <c r="E84" s="10">
        <v>58.5</v>
      </c>
      <c r="F84" s="10">
        <v>44.1459</v>
      </c>
      <c r="H84" s="30"/>
    </row>
    <row r="85" spans="2:8" ht="15" customHeight="1" x14ac:dyDescent="0.35">
      <c r="B85" s="4">
        <v>45992</v>
      </c>
      <c r="C85" s="10">
        <v>62.23</v>
      </c>
      <c r="D85" s="10">
        <v>49.2</v>
      </c>
      <c r="E85" s="10">
        <v>59.95</v>
      </c>
      <c r="F85" s="10">
        <v>44.558</v>
      </c>
      <c r="H85" s="30"/>
    </row>
    <row r="86" spans="2:8" ht="15" customHeight="1" x14ac:dyDescent="0.35">
      <c r="B86" s="4">
        <v>46023</v>
      </c>
      <c r="C86" s="10">
        <v>63.695</v>
      </c>
      <c r="D86" s="10">
        <v>49.4</v>
      </c>
      <c r="E86" s="10">
        <v>59.1</v>
      </c>
      <c r="F86" s="10">
        <v>44.0734</v>
      </c>
      <c r="H86" s="30"/>
    </row>
    <row r="87" spans="2:8" ht="15" customHeight="1" x14ac:dyDescent="0.35">
      <c r="B87" s="4">
        <v>46054</v>
      </c>
      <c r="C87" s="10">
        <v>63.695</v>
      </c>
      <c r="D87" s="10">
        <v>50.3</v>
      </c>
      <c r="E87" s="10">
        <v>59.15</v>
      </c>
      <c r="F87" s="10">
        <v>44.4274</v>
      </c>
      <c r="H87" s="30"/>
    </row>
    <row r="88" spans="2:8" ht="15" customHeight="1" x14ac:dyDescent="0.35">
      <c r="B88" s="4">
        <v>46082</v>
      </c>
      <c r="C88" s="10">
        <v>62.935</v>
      </c>
      <c r="D88" s="10">
        <v>48.8</v>
      </c>
      <c r="E88" s="10">
        <v>59.65</v>
      </c>
      <c r="F88" s="10">
        <v>44.1889</v>
      </c>
      <c r="H88" s="30"/>
    </row>
    <row r="89" spans="2:8" ht="15" customHeight="1" x14ac:dyDescent="0.35">
      <c r="B89" s="4">
        <v>46113</v>
      </c>
      <c r="C89" s="91">
        <v>60.53</v>
      </c>
      <c r="D89" s="91">
        <v>41.3</v>
      </c>
      <c r="E89" s="93">
        <v>56.85</v>
      </c>
      <c r="F89" s="91">
        <v>44.4029</v>
      </c>
      <c r="H89" s="30"/>
    </row>
    <row r="90" spans="2:8" ht="15" customHeight="1" x14ac:dyDescent="0.35">
      <c r="B90" s="4">
        <v>46143</v>
      </c>
      <c r="C90" s="91">
        <v>60.275</v>
      </c>
      <c r="D90" s="91">
        <v>40.9</v>
      </c>
      <c r="E90" s="93">
        <v>58.9</v>
      </c>
      <c r="F90" s="91">
        <v>43.6544</v>
      </c>
      <c r="H90" s="30"/>
    </row>
    <row r="91" ht="15" customHeight="1">
      <c r="B91" s="4">
        <v>46174</v>
      </c>
      <c r="C91" s="91">
        <v>62.035</v>
      </c>
      <c r="D91" s="91">
        <v>41.2</v>
      </c>
      <c r="E91" s="93">
        <v>62.15</v>
      </c>
      <c r="F91" s="91">
        <v>43.929</v>
      </c>
      <c r="H91" s="30"/>
    </row>
    <row r="92" ht="15" customHeight="1">
      <c r="B92" s="4">
        <v>46204</v>
      </c>
      <c r="C92" s="91">
        <v>60.8</v>
      </c>
      <c r="D92" s="91">
        <v>42</v>
      </c>
      <c r="E92" s="93">
        <v>60.35</v>
      </c>
      <c r="F92" s="91">
        <v>44.9905</v>
      </c>
      <c r="H92" s="30"/>
    </row>
    <row r="93" ht="15" customHeight="1">
      <c r="B93" s="4">
        <v>46235</v>
      </c>
      <c r="C93" s="91">
        <v>60.42</v>
      </c>
      <c r="D93" s="91">
        <v>38.1</v>
      </c>
      <c r="E93" s="93">
        <v>57.75</v>
      </c>
      <c r="F93" s="91">
        <v>46.2925</v>
      </c>
      <c r="H93" s="30"/>
    </row>
    <row r="94" ht="15" customHeight="1">
      <c r="B94" s="4">
        <v>46266</v>
      </c>
      <c r="C94" s="92"/>
      <c r="D94" s="91">
        <v>40.5</v>
      </c>
      <c r="E94" s="93">
        <v>57.85</v>
      </c>
      <c r="F94" s="91">
        <v>45.0722</v>
      </c>
      <c r="H94" s="30"/>
    </row>
    <row r="95" spans="2:8" x14ac:dyDescent="0.35">
      <c r="H95" s="30"/>
    </row>
    <row r="96" spans="2:8" ht="15" customHeight="1" x14ac:dyDescent="0.35">
      <c r="B96" s="2" t="s">
        <v>80</v>
      </c>
      <c r="C96" s="37" t="s">
        <v>106</v>
      </c>
      <c r="D96" s="37"/>
      <c r="E96" s="37"/>
      <c r="F96" s="37"/>
      <c r="H96" s="30"/>
    </row>
    <row r="97" spans="2:8" ht="15" customHeight="1" x14ac:dyDescent="0.35">
      <c r="B97" s="2" t="s">
        <v>82</v>
      </c>
      <c r="C97" s="38" t="s">
        <v>107</v>
      </c>
      <c r="D97" s="38"/>
      <c r="E97" s="38"/>
      <c r="F97" s="38"/>
      <c r="H97" s="30"/>
    </row>
    <row r="98" spans="2:8" ht="15" customHeight="1" x14ac:dyDescent="0.35">
      <c r="B98" s="2" t="s">
        <v>82</v>
      </c>
      <c r="C98" s="38" t="s">
        <v>108</v>
      </c>
      <c r="D98" s="38"/>
      <c r="E98" s="38"/>
      <c r="F98" s="38"/>
      <c r="H98" s="30"/>
    </row>
    <row r="99" spans="2:8" ht="15" customHeight="1" x14ac:dyDescent="0.35">
      <c r="B99" s="2" t="s">
        <v>82</v>
      </c>
      <c r="C99" s="38" t="s">
        <v>109</v>
      </c>
      <c r="D99" s="38"/>
      <c r="E99" s="38"/>
      <c r="F99" s="38"/>
      <c r="H99" s="30"/>
    </row>
    <row r="100" spans="2:8" x14ac:dyDescent="0.35">
      <c r="H100" s="30"/>
    </row>
    <row r="101" spans="8:8" x14ac:dyDescent="0.35">
      <c r="H101" s="30"/>
    </row>
    <row r="102" spans="8:8" x14ac:dyDescent="0.35">
      <c r="H102" s="30"/>
    </row>
    <row r="103" spans="8:8" x14ac:dyDescent="0.35">
      <c r="H103" s="30"/>
    </row>
    <row r="104" spans="8:8" x14ac:dyDescent="0.35">
      <c r="H104" s="30"/>
    </row>
  </sheetData>
  <mergeCells count="4">
    <mergeCell ref="C96:F96"/>
    <mergeCell ref="C97:F97"/>
    <mergeCell ref="C98:F98"/>
    <mergeCell ref="C99:F99"/>
  </mergeCells>
  <conditionalFormatting sqref="C7:F21">
    <cfRule type="colorScale" priority="3">
      <colorScale>
        <cfvo type="num" val="40"/>
        <cfvo type="num" val="50"/>
        <cfvo type="num" val="70"/>
        <color rgb="FFF8696B"/>
        <color rgb="FFFFFFFF"/>
        <color rgb="FF63BE7B"/>
      </colorScale>
    </cfRule>
  </conditionalFormatting>
  <conditionalFormatting sqref="C22:F22">
    <cfRule type="colorScale" priority="1">
      <colorScale>
        <cfvo type="num" val="40"/>
        <cfvo type="num" val="50"/>
        <cfvo type="num" val="70"/>
        <color rgb="FFF8696B"/>
        <color rgb="FFFFFFFF"/>
        <color rgb="FF63BE7B"/>
      </colorScale>
    </cfRule>
  </conditionalFormatting>
  <printOptions horizontalCentered="1"/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O101"/>
  <sheetViews>
    <sheetView showGridLines="0" zoomScaleNormal="100" workbookViewId="0">
      <selection activeCell="Y6" sqref="Y6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7" width="12" customWidth="1"/>
    <col min="8" max="8" width="16.54296875" customWidth="1"/>
    <col min="9" max="15" width="8.7265625" style="81"/>
  </cols>
  <sheetData>
    <row r="1" spans="2:8" customFormat="1" x14ac:dyDescent="0.35"/>
    <row r="2" spans="2:8" customFormat="1" ht="19.5" customHeight="1" x14ac:dyDescent="0.4">
      <c r="B2" s="62" t="s">
        <v>110</v>
      </c>
    </row>
    <row r="3" spans="2:8" customFormat="1" ht="15" customHeight="1" x14ac:dyDescent="0.35">
      <c r="B3" s="1" t="s">
        <v>111</v>
      </c>
    </row>
    <row r="4" spans="2:8" customFormat="1" x14ac:dyDescent="0.35"/>
    <row r="5" spans="2:8" customFormat="1" ht="15" customHeight="1" x14ac:dyDescent="0.4">
      <c r="B5" s="77" t="s">
        <v>173</v>
      </c>
      <c r="C5" s="18"/>
      <c r="D5" s="18"/>
      <c r="E5" s="18"/>
      <c r="F5" s="18"/>
      <c r="G5" s="18"/>
    </row>
    <row r="6" spans="2:8" customFormat="1" ht="15" customHeight="1" x14ac:dyDescent="0.35">
      <c r="B6" s="84" t="s">
        <v>59</v>
      </c>
      <c r="C6" s="84" t="s">
        <v>60</v>
      </c>
      <c r="D6" s="84" t="s">
        <v>61</v>
      </c>
      <c r="E6" s="84" t="s">
        <v>62</v>
      </c>
      <c r="F6" s="84" t="s">
        <v>63</v>
      </c>
      <c r="G6" s="84" t="s">
        <v>64</v>
      </c>
      <c r="H6" s="61" t="s">
        <v>243</v>
      </c>
    </row>
    <row r="7" spans="2:8" customFormat="1" ht="15" customHeight="1" x14ac:dyDescent="0.35">
      <c r="B7" s="70" t="s">
        <v>68</v>
      </c>
      <c r="C7" s="3">
        <f>IFERROR(IF(C80="","",C80),"")</f>
        <v>0.0522522242201262</v>
      </c>
      <c r="D7" s="3">
        <f>IFERROR(IF(D80="","",D80),"")</f>
        <v>0.043</v>
      </c>
      <c r="E7" s="3">
        <f>IFERROR(IF(E80="","",E80),"")</f>
        <v>0.0519</v>
      </c>
      <c r="F7" s="3">
        <f>IFERROR(IF(F80="","",F80),"")</f>
        <v>0.0351</v>
      </c>
      <c r="G7" s="3">
        <f>IFERROR(IF(G80="","",G80),"")</f>
        <v>0.016888009685</v>
      </c>
      <c r="H7" s="3">
        <f>IFERROR(IF(H80="","",H80),"")</f>
        <v>0.0274262</v>
      </c>
    </row>
    <row r="8" spans="2:8" customFormat="1" ht="15" customHeight="1" x14ac:dyDescent="0.35">
      <c r="B8" s="70" t="s">
        <v>69</v>
      </c>
      <c r="C8" s="3">
        <f>IFERROR(IF(C81="","",C81),"")</f>
        <v>0.0513050077750392</v>
      </c>
      <c r="D8" s="3">
        <f>IFERROR(IF(D81="","",D81),"")</f>
        <v>0.04</v>
      </c>
      <c r="E8" s="3">
        <f>IFERROR(IF(E81="","",E81),"")</f>
        <v>0.051100000000000007</v>
      </c>
      <c r="F8" s="3">
        <f>IFERROR(IF(F81="","",F81),"")</f>
        <v>0.035699999999999996</v>
      </c>
      <c r="G8" s="3">
        <f>IFERROR(IF(G81="","",G81),"")</f>
        <v>0.011063307753</v>
      </c>
      <c r="H8" s="3">
        <f>IFERROR(IF(H81="","",H81),"")</f>
        <v>0.0293859</v>
      </c>
    </row>
    <row r="9" spans="2:8" customFormat="1" ht="15" customHeight="1" x14ac:dyDescent="0.35">
      <c r="B9" s="70" t="s">
        <v>70</v>
      </c>
      <c r="C9" s="3">
        <f>IFERROR(IF(C82="","",C82),"")</f>
        <v>0.0517236875869764</v>
      </c>
      <c r="D9" s="3">
        <f>IFERROR(IF(D82="","",D82),"")</f>
        <v>0.044000000000000004</v>
      </c>
      <c r="E9" s="3">
        <f>IFERROR(IF(E82="","",E82),"")</f>
        <v>0.0507</v>
      </c>
      <c r="F9" s="3">
        <f>IFERROR(IF(F82="","",F82),"")</f>
        <v>0.037599999999999995</v>
      </c>
      <c r="G9" s="3">
        <f>IFERROR(IF(G82="","",G82),"")</f>
        <v>0.013583934214</v>
      </c>
      <c r="H9" s="3">
        <f>IFERROR(IF(H82="","",H82),"")</f>
        <v>0.0302257</v>
      </c>
    </row>
    <row r="10" spans="2:8" customFormat="1" ht="15" customHeight="1" x14ac:dyDescent="0.35">
      <c r="B10" s="70" t="s">
        <v>71</v>
      </c>
      <c r="C10" s="3">
        <f>IFERROR(IF(C83="","",C83),"")</f>
        <v>0.0468081134703706</v>
      </c>
      <c r="D10" s="3">
        <f>IFERROR(IF(D83="","",D83),"")</f>
        <v>0.034</v>
      </c>
      <c r="E10" s="3">
        <f>IFERROR(IF(E83="","",E83),"")</f>
        <v>0.0508</v>
      </c>
      <c r="F10" s="3">
        <f>IFERROR(IF(F83="","",F83),"")</f>
        <v>0.035699999999999996</v>
      </c>
      <c r="G10" s="3">
        <f>IFERROR(IF(G83="","",G83),"")</f>
        <v>0.013517747565</v>
      </c>
      <c r="H10" s="3">
        <f>IFERROR(IF(H83="","",H83),"")</f>
        <v>0.0302257</v>
      </c>
    </row>
    <row r="11" spans="2:8" customFormat="1" ht="15" customHeight="1" x14ac:dyDescent="0.35">
      <c r="B11" s="70" t="s">
        <v>72</v>
      </c>
      <c r="C11" s="3">
        <f>IFERROR(IF(C84="","",C84),"")</f>
        <v>0.0446183564843283</v>
      </c>
      <c r="D11" s="3">
        <f>IFERROR(IF(D84="","",D84),"")</f>
        <v>0.034</v>
      </c>
      <c r="E11" s="3">
        <f>IFERROR(IF(E84="","",E84),"")</f>
        <v>0.051</v>
      </c>
      <c r="F11" s="3">
        <f>IFERROR(IF(F84="","",F84),"")</f>
        <v>0.038</v>
      </c>
      <c r="G11" s="3">
        <f>IFERROR(IF(G84="","",G84),"")</f>
        <v>0.013686125699</v>
      </c>
      <c r="H11" s="3">
        <f>IFERROR(IF(H84="","",H84),"")</f>
        <v>0.0269644</v>
      </c>
    </row>
    <row r="12" spans="2:8" customFormat="1" ht="15" customHeight="1" x14ac:dyDescent="0.35">
      <c r="B12" s="70" t="s">
        <v>73</v>
      </c>
      <c r="C12" s="3">
        <f>IFERROR(IF(C85="","",C85),"")</f>
        <v>0.0426438490456895</v>
      </c>
      <c r="D12" s="3">
        <f>IFERROR(IF(D85="","",D85),"")</f>
        <v>0.035</v>
      </c>
      <c r="E12" s="3">
        <f>IFERROR(IF(E85="","",E85),"")</f>
        <v>0.051</v>
      </c>
      <c r="F12" s="3">
        <f>IFERROR(IF(F85="","",F85),"")</f>
        <v>0.0369</v>
      </c>
      <c r="G12" s="3">
        <f>IFERROR(IF(G85="","",G85),"")</f>
        <v>0.015087997392</v>
      </c>
      <c r="H12" s="3">
        <f>IFERROR(IF(H85="","",H85),"")</f>
        <v>0.026533</v>
      </c>
    </row>
    <row r="13" spans="2:8" customFormat="1" ht="15" customHeight="1" x14ac:dyDescent="0.35">
      <c r="B13" s="70" t="s">
        <v>74</v>
      </c>
      <c r="C13" s="3">
        <f>IFERROR(IF(C86="","",C86),"")</f>
        <v>0.044413512105</v>
      </c>
      <c r="D13" s="3">
        <f>IFERROR(IF(D86="","",D86),"")</f>
        <v>0.027824621</v>
      </c>
      <c r="E13" s="3">
        <f>IFERROR(IF(E86="","",E86),"")</f>
        <v>0.053536</v>
      </c>
      <c r="F13" s="3">
        <f>IFERROR(IF(F86="","",F86),"")</f>
        <v>0.03791301</v>
      </c>
      <c r="G13" s="3">
        <f>IFERROR(IF(G86="","",G86),"")</f>
        <v>0.017009169483</v>
      </c>
      <c r="H13" s="3">
        <f>IFERROR(IF(H86="","",H86),"")</f>
        <v>0.02386431</v>
      </c>
    </row>
    <row r="14" spans="2:8" customFormat="1" ht="15" customHeight="1" x14ac:dyDescent="0.35">
      <c r="B14" s="70" t="s">
        <v>75</v>
      </c>
      <c r="C14" s="3">
        <f>IFERROR(IF(C87="","",C87),"")</f>
        <v>0.038124969539</v>
      </c>
      <c r="D14" s="3">
        <f>IFERROR(IF(D87="","",D87),"")</f>
        <v>0.023702874</v>
      </c>
      <c r="E14" s="3">
        <f>IFERROR(IF(E87="","",E87),"")</f>
        <v>0.0529</v>
      </c>
      <c r="F14" s="3">
        <f>IFERROR(IF(F87="","",F87),"")</f>
        <v>0.04023038</v>
      </c>
      <c r="G14" s="3">
        <f>IFERROR(IF(G87="","",G87),"")</f>
        <v>0.022141662577</v>
      </c>
      <c r="H14" s="3">
        <f>IFERROR(IF(H87="","",H87),"")</f>
        <v>0.02414113</v>
      </c>
    </row>
    <row r="15" spans="2:8" customFormat="1" ht="15" customHeight="1" x14ac:dyDescent="0.35">
      <c r="B15" s="70" t="s">
        <v>76</v>
      </c>
      <c r="C15" s="3">
        <f>IFERROR(IF(C88="","",C88),"")</f>
        <v>0.041428469807</v>
      </c>
      <c r="D15" s="3">
        <f>IFERROR(IF(D88="","",D88),"")</f>
        <v>0.028319406</v>
      </c>
      <c r="E15" s="3">
        <f>IFERROR(IF(E88="","",E88),"")</f>
        <v>0.055589</v>
      </c>
      <c r="F15" s="3">
        <f>IFERROR(IF(F88="","",F88),"")</f>
        <v>0.04586774</v>
      </c>
      <c r="G15" s="3">
        <f>IFERROR(IF(G88="","",G88),"")</f>
        <v>0.038045458129</v>
      </c>
      <c r="H15" s="3">
        <f>IFERROR(IF(H88="","",H88),"")</f>
        <v>0.0325642</v>
      </c>
    </row>
    <row r="16" spans="2:8" customFormat="1" ht="15" customHeight="1" x14ac:dyDescent="0.35">
      <c r="B16" s="70" t="s">
        <v>253</v>
      </c>
      <c r="C16" s="3">
        <f>IFERROR(IF(C89="","",C89),"")</f>
        <v>0.043917196597</v>
      </c>
      <c r="D16" s="3">
        <f>IFERROR(IF(D89="","",D89),"")</f>
        <v>0.039570012</v>
      </c>
      <c r="E16" s="3">
        <f>IFERROR(IF(E89="","",E89),"")</f>
        <v>0.056813</v>
      </c>
      <c r="F16" s="3">
        <f>IFERROR(IF(F89="","",F89),"")</f>
        <v>0.04448503</v>
      </c>
      <c r="G16" s="3">
        <f>IFERROR(IF(G89="","",G89),"")</f>
        <v>0.040141436347</v>
      </c>
      <c r="H16" s="3">
        <f>IFERROR(IF(H89="","",H89),"")</f>
        <v>0.03810845</v>
      </c>
    </row>
    <row r="17" spans="2:15" ht="15" customHeight="1" x14ac:dyDescent="0.35">
      <c r="B17" s="70" t="s">
        <v>254</v>
      </c>
      <c r="C17" s="3">
        <f>IFERROR(IF(C90="","",C90),"")</f>
        <v>0.047249068792</v>
      </c>
      <c r="D17" s="3">
        <f>IFERROR(IF(D90="","",D90),"")</f>
        <v>0.039308176</v>
      </c>
      <c r="E17" s="3">
        <f>IFERROR(IF(E90="","",E90),"")</f>
        <v>0.058421</v>
      </c>
      <c r="F17" s="3">
        <f>IFERROR(IF(F90="","",F90),"")</f>
        <v>0.03938948</v>
      </c>
      <c r="G17" s="3">
        <f>IFERROR(IF(G90="","",G90),"")</f>
        <v>0.039050524062</v>
      </c>
      <c r="H17" s="3">
        <f>IFERROR(IF(H90="","",H90),"")</f>
        <v>0.04248674</v>
      </c>
      <c r="I17"/>
      <c r="J17"/>
      <c r="K17"/>
      <c r="L17"/>
      <c r="M17"/>
      <c r="N17"/>
      <c r="O17"/>
    </row>
    <row r="18" spans="2:15" ht="15" customHeight="1" x14ac:dyDescent="0.35">
      <c r="B18" s="70" t="s">
        <v>255</v>
      </c>
      <c r="C18" s="3">
        <f>IFERROR(IF(C91="","",C91),"")</f>
        <v>0.046413275481</v>
      </c>
      <c r="D18" s="3">
        <f>IFERROR(IF(D91="","",D91),"")</f>
        <v>0.043369242</v>
      </c>
      <c r="E18" s="3">
        <f>IFERROR(IF(E91="","",E91),"")</f>
        <v>0.061437</v>
      </c>
      <c r="F18" s="3">
        <f>IFERROR(IF(F91="","",F91),"")</f>
        <v>0.03365977</v>
      </c>
      <c r="G18" s="3">
        <f>IFERROR(IF(G91="","",G91),"")</f>
        <v>0.040089096565</v>
      </c>
      <c r="H18" s="3">
        <f>IFERROR(IF(H91="","",H91),"")</f>
        <v>0.03531425</v>
      </c>
      <c r="I18"/>
      <c r="J18"/>
      <c r="K18"/>
      <c r="L18"/>
      <c r="M18"/>
      <c r="N18"/>
      <c r="O18"/>
    </row>
    <row r="19" spans="2:15" ht="15" customHeight="1" x14ac:dyDescent="0.35">
      <c r="B19" s="70" t="s">
        <v>256</v>
      </c>
      <c r="C19" s="3">
        <f>IFERROR(IF(C92="","",C92),"")</f>
        <v>0.044430246091</v>
      </c>
      <c r="D19" s="3">
        <f>IFERROR(IF(D92="","",D92),"")</f>
        <v>0.035260541</v>
      </c>
      <c r="E19" s="3">
        <f>IFERROR(IF(E92="","",E92),"")</f>
        <v>0.060263</v>
      </c>
      <c r="F19" s="3">
        <f>IFERROR(IF(F92="","",F92),"")</f>
        <v>0.0311763</v>
      </c>
      <c r="G19" s="3">
        <f>IFERROR(IF(G92="","",G92),"")</f>
        <v>0.040651525621</v>
      </c>
      <c r="H19" s="3">
        <f>IFERROR(IF(H92="","",H92),"")</f>
        <v>0.03364825</v>
      </c>
      <c r="I19"/>
      <c r="J19"/>
      <c r="K19"/>
      <c r="L19"/>
      <c r="M19"/>
      <c r="N19"/>
      <c r="O19"/>
    </row>
    <row r="20" spans="2:15" ht="15" customHeight="1" x14ac:dyDescent="0.35">
      <c r="B20" s="74" t="s">
        <v>257</v>
      </c>
      <c r="C20" s="3">
        <f>IFERROR(IF(C93="","",C93),"")</f>
        <v>0.04223452726</v>
      </c>
      <c r="D20" s="3">
        <f>IFERROR(IF(D93="","",D93),"")</f>
        <v>0.041321553</v>
      </c>
      <c r="E20" s="3">
        <f>IFERROR(IF(E93="","",E93),"")</f>
        <v>0.062417</v>
      </c>
      <c r="F20" s="3">
        <f>IFERROR(IF(F93="","",F93),"")</f>
        <v>0.03261942</v>
      </c>
      <c r="G20" s="3">
        <f>IFERROR(IF(G93="","",G93),"")</f>
        <v>0.044378092978</v>
      </c>
      <c r="H20" s="3">
        <f>IFERROR(IF(H93="","",H93),"")</f>
        <v>0.03396548</v>
      </c>
      <c r="I20"/>
      <c r="J20"/>
      <c r="K20"/>
      <c r="L20"/>
      <c r="M20"/>
      <c r="N20"/>
      <c r="O20"/>
    </row>
    <row r="21" spans="2:15" ht="15" customHeight="1" thickBot="1" x14ac:dyDescent="0.4">
      <c r="B21" s="74" t="s">
        <v>258</v>
      </c>
      <c r="C21" s="3" t="str">
        <f>IFERROR(IF(C94="","",C94),"")</f>
        <v/>
      </c>
      <c r="D21" s="3" t="str">
        <f>IFERROR(IF(D94="","",D94),"")</f>
        <v/>
      </c>
      <c r="E21" s="3" t="str">
        <f>IFERROR(IF(E94="","",E94),"")</f>
        <v/>
      </c>
      <c r="F21" s="3" t="str">
        <f>IFERROR(IF(F94="","",F94),"")</f>
        <v/>
      </c>
      <c r="G21" s="3">
        <f>IFERROR(IF(G94="","",G94),"")</f>
        <v>0.045486546948</v>
      </c>
      <c r="H21" s="3">
        <f>IFERROR(IF(H94="","",H94),"")</f>
        <v>0.037</v>
      </c>
      <c r="I21"/>
      <c r="J21"/>
      <c r="K21"/>
      <c r="L21"/>
      <c r="M21"/>
      <c r="N21"/>
      <c r="O21"/>
    </row>
    <row r="22" spans="2:15" ht="15" customHeight="1" thickBot="1" x14ac:dyDescent="0.4">
      <c r="B22" s="71" t="s">
        <v>77</v>
      </c>
      <c r="C22" s="78">
        <f>IFERROR(AVERAGE(C10:C21),"")</f>
        <v>0.043843780424762585</v>
      </c>
      <c r="D22" s="78">
        <f>IFERROR(AVERAGE(D10:D21),"")</f>
        <v>0.03469785681818182</v>
      </c>
      <c r="E22" s="78">
        <f>IFERROR(AVERAGE(E10:E21),"")</f>
        <v>0.05583418181818181</v>
      </c>
      <c r="F22" s="78">
        <f>IFERROR(AVERAGE(F10:F21),"")</f>
        <v>0.03781283</v>
      </c>
      <c r="G22" s="79">
        <f>IFERROR(AVERAGE(G10:G21),"")</f>
        <v>0.030773781947166668</v>
      </c>
      <c r="H22" s="79">
        <f>IFERROR(AVERAGE(H10:H21),"")</f>
        <v>0.032067992499999996</v>
      </c>
      <c r="I22"/>
      <c r="J22"/>
      <c r="K22"/>
      <c r="L22"/>
      <c r="M22"/>
      <c r="N22"/>
      <c r="O22"/>
    </row>
    <row r="23" spans="2:15" x14ac:dyDescent="0.35">
      <c r="I23"/>
      <c r="J23"/>
      <c r="K23"/>
      <c r="L23"/>
      <c r="M23"/>
      <c r="N23"/>
      <c r="O23"/>
    </row>
    <row r="24" spans="2:15" x14ac:dyDescent="0.35">
      <c r="I24"/>
      <c r="J24"/>
      <c r="K24"/>
      <c r="L24"/>
      <c r="M24"/>
      <c r="N24"/>
      <c r="O24"/>
    </row>
    <row r="25" spans="2:15" ht="15" customHeight="1" x14ac:dyDescent="0.35">
      <c r="B25" s="63" t="s">
        <v>78</v>
      </c>
      <c r="I25"/>
      <c r="J25"/>
      <c r="K25"/>
      <c r="L25"/>
      <c r="M25"/>
      <c r="N25"/>
      <c r="O25"/>
    </row>
    <row r="26" spans="2:15" ht="15" customHeight="1" x14ac:dyDescent="0.35">
      <c r="B26" s="61" t="s">
        <v>79</v>
      </c>
      <c r="C26" s="61" t="s">
        <v>60</v>
      </c>
      <c r="D26" s="61" t="s">
        <v>61</v>
      </c>
      <c r="E26" s="61" t="s">
        <v>62</v>
      </c>
      <c r="F26" s="61" t="s">
        <v>63</v>
      </c>
      <c r="G26" s="61" t="s">
        <v>64</v>
      </c>
      <c r="H26" s="61" t="s">
        <v>243</v>
      </c>
      <c r="I26" s="80"/>
      <c r="J26" s="80"/>
      <c r="K26" s="80"/>
    </row>
    <row r="27" spans="2:15" ht="15" customHeight="1" x14ac:dyDescent="0.35">
      <c r="B27" s="4">
        <v>44228</v>
      </c>
      <c r="C27" s="5">
        <v>5.1952805482628803E-2</v>
      </c>
      <c r="D27" s="5">
        <v>2.7999999999999997E-2</v>
      </c>
      <c r="E27" s="6">
        <v>2.5099999999999997E-2</v>
      </c>
      <c r="F27" s="5">
        <v>3.7599999999999995E-2</v>
      </c>
      <c r="G27" s="5">
        <v>2.4046793760831998E-2</v>
      </c>
      <c r="H27" s="5">
        <v>1.66982E-2</v>
      </c>
      <c r="M27" s="82"/>
      <c r="N27" s="82"/>
    </row>
    <row r="28" spans="2:15" ht="15" customHeight="1" x14ac:dyDescent="0.35">
      <c r="B28" s="4">
        <v>44256</v>
      </c>
      <c r="C28" s="5">
        <v>6.0993271283718897E-2</v>
      </c>
      <c r="D28" s="5">
        <v>2.8999999999999998E-2</v>
      </c>
      <c r="E28" s="6">
        <v>2.58E-2</v>
      </c>
      <c r="F28" s="5">
        <v>4.6699999999999998E-2</v>
      </c>
      <c r="G28" s="5">
        <v>2.59362892811019E-2</v>
      </c>
      <c r="H28" s="5">
        <v>2.6678199999999999E-2</v>
      </c>
      <c r="M28" s="83"/>
      <c r="N28" s="83"/>
    </row>
    <row r="29" spans="2:15" ht="15" customHeight="1" x14ac:dyDescent="0.35">
      <c r="B29" s="4">
        <v>44287</v>
      </c>
      <c r="C29" s="5">
        <v>6.7591885269032898E-2</v>
      </c>
      <c r="D29" s="5">
        <v>3.3000000000000002E-2</v>
      </c>
      <c r="E29" s="6">
        <v>3.0600000000000002E-2</v>
      </c>
      <c r="F29" s="5">
        <v>6.08E-2</v>
      </c>
      <c r="G29" s="5">
        <v>2.3868401247177699E-2</v>
      </c>
      <c r="H29" s="5">
        <v>4.1330799999999994E-2</v>
      </c>
      <c r="M29" s="83"/>
      <c r="N29" s="83"/>
    </row>
    <row r="30" spans="2:15" ht="15" customHeight="1" x14ac:dyDescent="0.35">
      <c r="B30" s="4">
        <v>44317</v>
      </c>
      <c r="C30" s="5">
        <v>8.0559022201129704E-2</v>
      </c>
      <c r="D30" s="5">
        <v>3.6000000000000004E-2</v>
      </c>
      <c r="E30" s="6">
        <v>3.49E-2</v>
      </c>
      <c r="F30" s="5">
        <v>5.8899999999999994E-2</v>
      </c>
      <c r="G30" s="5">
        <v>2.4570815450643699E-2</v>
      </c>
      <c r="H30" s="5">
        <v>4.91826E-2</v>
      </c>
      <c r="M30" s="83"/>
      <c r="N30" s="83"/>
    </row>
    <row r="31" spans="2:15" ht="15" customHeight="1" x14ac:dyDescent="0.35">
      <c r="B31" s="4">
        <v>44348</v>
      </c>
      <c r="C31" s="5">
        <v>8.3468965707955298E-2</v>
      </c>
      <c r="D31" s="5">
        <v>3.7999999999999999E-2</v>
      </c>
      <c r="E31" s="6">
        <v>3.7100000000000001E-2</v>
      </c>
      <c r="F31" s="5">
        <v>5.8799999999999998E-2</v>
      </c>
      <c r="G31" s="5">
        <v>3.2487091222031202E-2</v>
      </c>
      <c r="H31" s="5">
        <v>5.2956299999999998E-2</v>
      </c>
      <c r="M31" s="83"/>
      <c r="N31" s="83"/>
    </row>
    <row r="32" spans="2:15" ht="15" customHeight="1" x14ac:dyDescent="0.35">
      <c r="B32" s="4">
        <v>44378</v>
      </c>
      <c r="C32" s="5">
        <v>8.9946460520876598E-2</v>
      </c>
      <c r="D32" s="5">
        <v>4.4999999999999998E-2</v>
      </c>
      <c r="E32" s="6">
        <v>3.95E-2</v>
      </c>
      <c r="F32" s="5">
        <v>5.8099999999999999E-2</v>
      </c>
      <c r="G32" s="5">
        <v>3.8119713031373702E-2</v>
      </c>
      <c r="H32" s="5">
        <v>5.2451699999999997E-2</v>
      </c>
      <c r="M32" s="83"/>
      <c r="N32" s="83"/>
    </row>
    <row r="33" spans="2:14" ht="15" customHeight="1" x14ac:dyDescent="0.35">
      <c r="B33" s="4">
        <v>44409</v>
      </c>
      <c r="C33" s="5">
        <v>9.6796682688954402E-2</v>
      </c>
      <c r="D33" s="5">
        <v>4.8000000000000001E-2</v>
      </c>
      <c r="E33" s="6">
        <v>4.0899999999999999E-2</v>
      </c>
      <c r="F33" s="5">
        <v>5.5899999999999998E-2</v>
      </c>
      <c r="G33" s="5">
        <v>4.9528301886792497E-2</v>
      </c>
      <c r="H33" s="5">
        <v>5.1520200000000002E-2</v>
      </c>
      <c r="M33" s="83"/>
      <c r="N33" s="83"/>
    </row>
    <row r="34" spans="2:14" ht="15" customHeight="1" x14ac:dyDescent="0.35">
      <c r="B34" s="4">
        <v>44440</v>
      </c>
      <c r="C34" s="5">
        <v>0.102463756168667</v>
      </c>
      <c r="D34" s="5">
        <v>5.2999999999999999E-2</v>
      </c>
      <c r="E34" s="6">
        <v>4.7E-2</v>
      </c>
      <c r="F34" s="5">
        <v>0.06</v>
      </c>
      <c r="G34" s="5">
        <v>5.2349855475858999E-2</v>
      </c>
      <c r="H34" s="5">
        <v>5.3512199999999996E-2</v>
      </c>
      <c r="M34" s="83"/>
      <c r="N34" s="83"/>
    </row>
    <row r="35" spans="2:14" ht="15" customHeight="1" x14ac:dyDescent="0.35">
      <c r="B35" s="4">
        <v>44470</v>
      </c>
      <c r="C35" s="5">
        <v>0.106726703470926</v>
      </c>
      <c r="D35" s="5">
        <v>0.06</v>
      </c>
      <c r="E35" s="6">
        <v>5.2600000000000001E-2</v>
      </c>
      <c r="F35" s="5">
        <v>6.2400000000000004E-2</v>
      </c>
      <c r="G35" s="5">
        <v>5.8225409397409701E-2</v>
      </c>
      <c r="H35" s="5">
        <v>6.23504E-2</v>
      </c>
      <c r="M35" s="83"/>
      <c r="N35" s="83"/>
    </row>
    <row r="36" spans="2:14" ht="15" customHeight="1" x14ac:dyDescent="0.35">
      <c r="B36" s="4">
        <v>44501</v>
      </c>
      <c r="C36" s="5">
        <v>0.10738488170671</v>
      </c>
      <c r="D36" s="5">
        <v>6.7000000000000004E-2</v>
      </c>
      <c r="E36" s="6">
        <v>5.57E-2</v>
      </c>
      <c r="F36" s="5">
        <v>7.3700000000000002E-2</v>
      </c>
      <c r="G36" s="5">
        <v>5.6543499094878102E-2</v>
      </c>
      <c r="H36" s="5">
        <v>6.9019700000000003E-2</v>
      </c>
      <c r="M36" s="83"/>
      <c r="N36" s="83"/>
    </row>
    <row r="37" spans="2:14" ht="15" customHeight="1" x14ac:dyDescent="0.35">
      <c r="B37" s="4">
        <v>44531</v>
      </c>
      <c r="C37" s="5">
        <v>0.10061054893257899</v>
      </c>
      <c r="D37" s="5">
        <v>7.2000000000000008E-2</v>
      </c>
      <c r="E37" s="6">
        <v>5.62E-2</v>
      </c>
      <c r="F37" s="5">
        <v>7.3599999999999999E-2</v>
      </c>
      <c r="G37" s="5">
        <v>6.4282673478075897E-2</v>
      </c>
      <c r="H37" s="5">
        <v>7.1743399999999999E-2</v>
      </c>
      <c r="M37" s="83"/>
      <c r="N37" s="83"/>
    </row>
    <row r="38" spans="2:14" ht="15" customHeight="1" x14ac:dyDescent="0.35">
      <c r="B38" s="4">
        <v>44562</v>
      </c>
      <c r="C38" s="5">
        <v>0.103794359996823</v>
      </c>
      <c r="D38" s="5">
        <v>7.6999999999999999E-2</v>
      </c>
      <c r="E38" s="6">
        <v>6.93E-2</v>
      </c>
      <c r="F38" s="5">
        <v>7.0699999999999999E-2</v>
      </c>
      <c r="G38" s="5">
        <v>5.6834988379463401E-2</v>
      </c>
      <c r="H38" s="5">
        <v>7.5588100000000005E-2</v>
      </c>
      <c r="M38" s="83"/>
      <c r="N38" s="83"/>
    </row>
    <row r="39" spans="2:14" ht="15" customHeight="1" x14ac:dyDescent="0.35">
      <c r="B39" s="4">
        <v>44593</v>
      </c>
      <c r="C39" s="5">
        <v>0.105435934000388</v>
      </c>
      <c r="D39" s="5">
        <v>7.8E-2</v>
      </c>
      <c r="E39" s="6">
        <v>7.5199999999999989E-2</v>
      </c>
      <c r="F39" s="5">
        <v>7.2800000000000004E-2</v>
      </c>
      <c r="G39" s="5">
        <v>6.1455468584726003E-2</v>
      </c>
      <c r="H39" s="5">
        <v>7.9372800000000007E-2</v>
      </c>
      <c r="M39" s="83"/>
      <c r="N39" s="83"/>
    </row>
    <row r="40" spans="2:14" ht="15" customHeight="1" x14ac:dyDescent="0.35">
      <c r="B40" s="4">
        <v>44621</v>
      </c>
      <c r="C40" s="5">
        <v>0.11299315974556</v>
      </c>
      <c r="D40" s="5">
        <v>9.4E-2</v>
      </c>
      <c r="E40" s="6">
        <v>7.5399999999999995E-2</v>
      </c>
      <c r="F40" s="5">
        <v>7.4499999999999997E-2</v>
      </c>
      <c r="G40" s="5">
        <v>6.82891010175182E-2</v>
      </c>
      <c r="H40" s="5">
        <v>8.5722000000000007E-2</v>
      </c>
      <c r="M40" s="83"/>
      <c r="N40" s="83"/>
    </row>
    <row r="41" spans="2:14" ht="15" customHeight="1" x14ac:dyDescent="0.35">
      <c r="B41" s="4">
        <v>44652</v>
      </c>
      <c r="C41" s="5">
        <v>0.121314811323759</v>
      </c>
      <c r="D41" s="5">
        <v>0.105</v>
      </c>
      <c r="E41" s="6">
        <v>8.0399999999999985E-2</v>
      </c>
      <c r="F41" s="5">
        <v>7.6799999999999993E-2</v>
      </c>
      <c r="G41" s="5">
        <v>7.9701774650845297E-2</v>
      </c>
      <c r="H41" s="5">
        <v>8.2317500000000002E-2</v>
      </c>
      <c r="M41" s="83"/>
      <c r="N41" s="83"/>
    </row>
    <row r="42" spans="2:14" ht="15" customHeight="1" x14ac:dyDescent="0.35">
      <c r="B42" s="4">
        <v>44682</v>
      </c>
      <c r="C42" s="5">
        <v>0.11731130708814901</v>
      </c>
      <c r="D42" s="5">
        <v>0.115</v>
      </c>
      <c r="E42" s="6">
        <v>8.2400000000000001E-2</v>
      </c>
      <c r="F42" s="5">
        <v>7.6499999999999999E-2</v>
      </c>
      <c r="G42" s="5">
        <v>8.08461619017697E-2</v>
      </c>
      <c r="H42" s="5">
        <v>8.5381699999999991E-2</v>
      </c>
      <c r="M42" s="83"/>
      <c r="N42" s="83"/>
    </row>
    <row r="43" spans="2:14" ht="15" customHeight="1" x14ac:dyDescent="0.35">
      <c r="B43" s="4">
        <v>44713</v>
      </c>
      <c r="C43" s="5">
        <v>0.11886729617590699</v>
      </c>
      <c r="D43" s="5">
        <v>0.125</v>
      </c>
      <c r="E43" s="6">
        <v>9.2300000000000007E-2</v>
      </c>
      <c r="F43" s="5">
        <v>7.9899999999999999E-2</v>
      </c>
      <c r="G43" s="5">
        <v>8.8143363200666694E-2</v>
      </c>
      <c r="H43" s="5">
        <v>8.9793600000000001E-2</v>
      </c>
      <c r="M43" s="83"/>
      <c r="N43" s="83"/>
    </row>
    <row r="44" spans="2:14" ht="15" customHeight="1" x14ac:dyDescent="0.35">
      <c r="B44" s="4">
        <v>44743</v>
      </c>
      <c r="C44" s="5">
        <v>0.100692351982875</v>
      </c>
      <c r="D44" s="5">
        <v>0.13100000000000001</v>
      </c>
      <c r="E44" s="6">
        <v>9.7100000000000006E-2</v>
      </c>
      <c r="F44" s="5">
        <v>8.1500000000000003E-2</v>
      </c>
      <c r="G44" s="5">
        <v>8.7364620938628096E-2</v>
      </c>
      <c r="H44" s="5">
        <v>8.4625800000000015E-2</v>
      </c>
      <c r="M44" s="83"/>
      <c r="N44" s="83"/>
    </row>
    <row r="45" spans="2:14" ht="15" customHeight="1" x14ac:dyDescent="0.35">
      <c r="B45" s="4">
        <v>44774</v>
      </c>
      <c r="C45" s="5">
        <v>8.7270605250061403E-2</v>
      </c>
      <c r="D45" s="5">
        <v>0.14099999999999999</v>
      </c>
      <c r="E45" s="6">
        <v>0.1082</v>
      </c>
      <c r="F45" s="5">
        <v>8.6999999999999994E-2</v>
      </c>
      <c r="G45" s="5">
        <v>8.4065372829417603E-2</v>
      </c>
      <c r="H45" s="5">
        <v>8.2225800000000002E-2</v>
      </c>
      <c r="M45" s="83"/>
      <c r="N45" s="83"/>
    </row>
    <row r="46" spans="2:14" ht="15" customHeight="1" x14ac:dyDescent="0.35">
      <c r="B46" s="4">
        <v>44805</v>
      </c>
      <c r="C46" s="5">
        <v>7.1685963320320595E-2</v>
      </c>
      <c r="D46" s="5">
        <v>0.13699999999999998</v>
      </c>
      <c r="E46" s="6">
        <v>0.11289999999999999</v>
      </c>
      <c r="F46" s="5">
        <v>8.6999999999999994E-2</v>
      </c>
      <c r="G46" s="5">
        <v>8.5249237029501698E-2</v>
      </c>
      <c r="H46" s="5">
        <v>8.1921099999999997E-2</v>
      </c>
      <c r="M46" s="83"/>
      <c r="N46" s="83"/>
    </row>
    <row r="47" spans="2:14" ht="15" customHeight="1" x14ac:dyDescent="0.35">
      <c r="B47" s="4">
        <v>44835</v>
      </c>
      <c r="C47" s="5">
        <v>6.4700158522380799E-2</v>
      </c>
      <c r="D47" s="5">
        <v>0.128</v>
      </c>
      <c r="E47" s="6">
        <v>0.125</v>
      </c>
      <c r="F47" s="5">
        <v>8.4100000000000008E-2</v>
      </c>
      <c r="G47" s="5">
        <v>8.2734904419945299E-2</v>
      </c>
      <c r="H47" s="5">
        <v>7.7588100000000007E-2</v>
      </c>
      <c r="M47" s="83"/>
      <c r="N47" s="83"/>
    </row>
    <row r="48" spans="2:14" ht="15" customHeight="1" x14ac:dyDescent="0.35">
      <c r="B48" s="4">
        <v>44866</v>
      </c>
      <c r="C48" s="5">
        <v>5.9004882785856902E-2</v>
      </c>
      <c r="D48" s="5">
        <v>0.13300000000000001</v>
      </c>
      <c r="E48" s="6">
        <v>0.12839999999999999</v>
      </c>
      <c r="F48" s="5">
        <v>7.8E-2</v>
      </c>
      <c r="G48" s="5">
        <v>8.4458778472082302E-2</v>
      </c>
      <c r="H48" s="5">
        <v>7.1228600000000003E-2</v>
      </c>
      <c r="M48" s="83"/>
      <c r="N48" s="83"/>
    </row>
    <row r="49" spans="2:14" ht="15" customHeight="1" x14ac:dyDescent="0.35">
      <c r="B49" s="4">
        <v>44896</v>
      </c>
      <c r="C49" s="5">
        <v>5.7848419596077602E-2</v>
      </c>
      <c r="D49" s="5">
        <v>0.128</v>
      </c>
      <c r="E49" s="6">
        <v>0.13119999999999998</v>
      </c>
      <c r="F49" s="5">
        <v>7.8200000000000006E-2</v>
      </c>
      <c r="G49" s="5">
        <v>8.4599999999999995E-2</v>
      </c>
      <c r="H49" s="5">
        <v>6.4046000000000006E-2</v>
      </c>
      <c r="M49" s="83"/>
      <c r="N49" s="83"/>
    </row>
    <row r="50" spans="2:14" ht="15" customHeight="1" x14ac:dyDescent="0.35">
      <c r="B50" s="4">
        <v>44927</v>
      </c>
      <c r="C50" s="5">
        <v>5.7743202924146302E-2</v>
      </c>
      <c r="D50" s="5">
        <v>0.12300000000000001</v>
      </c>
      <c r="E50" s="6">
        <v>0.11749999999999999</v>
      </c>
      <c r="F50" s="5">
        <v>7.9100000000000004E-2</v>
      </c>
      <c r="G50" s="5">
        <v>8.6565373850459704E-2</v>
      </c>
      <c r="H50" s="5">
        <v>6.3271800000000003E-2</v>
      </c>
      <c r="M50" s="83"/>
      <c r="N50" s="83"/>
    </row>
    <row r="51" spans="2:14" ht="15" customHeight="1" x14ac:dyDescent="0.35">
      <c r="B51" s="4">
        <v>44958</v>
      </c>
      <c r="C51" s="5">
        <v>5.5963019333441298E-2</v>
      </c>
      <c r="D51" s="5">
        <v>0.11900000000000001</v>
      </c>
      <c r="E51" s="6">
        <v>0.1242</v>
      </c>
      <c r="F51" s="5">
        <v>7.6200000000000004E-2</v>
      </c>
      <c r="G51" s="5">
        <v>8.6397608370702497E-2</v>
      </c>
      <c r="H51" s="5">
        <v>5.9578199999999998E-2</v>
      </c>
      <c r="M51" s="83"/>
      <c r="N51" s="83"/>
    </row>
    <row r="52" spans="2:14" ht="15" customHeight="1" x14ac:dyDescent="0.35">
      <c r="B52" s="4">
        <v>44986</v>
      </c>
      <c r="C52" s="5">
        <v>4.6506944273478901E-2</v>
      </c>
      <c r="D52" s="5">
        <v>0.111</v>
      </c>
      <c r="E52" s="6">
        <v>0.12039999999999999</v>
      </c>
      <c r="F52" s="5">
        <v>6.8499999999999991E-2</v>
      </c>
      <c r="G52" s="5">
        <v>8.3955223880596994E-2</v>
      </c>
      <c r="H52" s="5">
        <v>4.9177200000000004E-2</v>
      </c>
      <c r="M52" s="83"/>
      <c r="N52" s="83"/>
    </row>
    <row r="53" spans="2:14" ht="15" customHeight="1" x14ac:dyDescent="0.35">
      <c r="B53" s="4">
        <v>45017</v>
      </c>
      <c r="C53" s="5">
        <v>4.1847057820648202E-2</v>
      </c>
      <c r="D53" s="5">
        <v>9.9000000000000005E-2</v>
      </c>
      <c r="E53" s="6">
        <v>0.11109999999999999</v>
      </c>
      <c r="F53" s="5">
        <v>6.25E-2</v>
      </c>
      <c r="G53" s="5">
        <v>7.9653763859171403E-2</v>
      </c>
      <c r="H53" s="5">
        <v>4.9500799999999998E-2</v>
      </c>
      <c r="M53" s="83"/>
      <c r="N53" s="83"/>
    </row>
    <row r="54" spans="2:14" ht="15" customHeight="1" x14ac:dyDescent="0.35">
      <c r="B54" s="4">
        <v>45047</v>
      </c>
      <c r="C54" s="5">
        <v>3.9358321940515403E-2</v>
      </c>
      <c r="D54" s="5">
        <v>8.6999999999999994E-2</v>
      </c>
      <c r="E54" s="6">
        <v>0.10769999999999999</v>
      </c>
      <c r="F54" s="5">
        <v>5.8400000000000001E-2</v>
      </c>
      <c r="G54" s="5">
        <v>7.8965216548784203E-2</v>
      </c>
      <c r="H54" s="5">
        <v>4.1318500000000001E-2</v>
      </c>
      <c r="M54" s="83"/>
      <c r="N54" s="83"/>
    </row>
    <row r="55" spans="2:14" ht="15" customHeight="1" x14ac:dyDescent="0.35">
      <c r="B55" s="4">
        <v>45078</v>
      </c>
      <c r="C55" s="5">
        <v>3.1615014684576198E-2</v>
      </c>
      <c r="D55" s="5">
        <v>7.5999999999999998E-2</v>
      </c>
      <c r="E55" s="6">
        <v>0.10439999999999999</v>
      </c>
      <c r="F55" s="5">
        <v>5.0599999999999999E-2</v>
      </c>
      <c r="G55" s="5">
        <v>6.4630409804672606E-2</v>
      </c>
      <c r="H55" s="5">
        <v>3.0706199999999999E-2</v>
      </c>
      <c r="M55" s="83"/>
      <c r="N55" s="83"/>
    </row>
    <row r="56" spans="2:14" ht="15" customHeight="1" x14ac:dyDescent="0.35">
      <c r="B56" s="4">
        <v>45108</v>
      </c>
      <c r="C56" s="5">
        <v>3.9924438886627098E-2</v>
      </c>
      <c r="D56" s="5">
        <v>6.5000000000000002E-2</v>
      </c>
      <c r="E56" s="6">
        <v>9.820000000000001E-2</v>
      </c>
      <c r="F56" s="5">
        <v>4.7899999999999998E-2</v>
      </c>
      <c r="G56" s="5">
        <v>5.8812369569341702E-2</v>
      </c>
      <c r="H56" s="5">
        <v>3.2877499999999997E-2</v>
      </c>
      <c r="M56" s="83"/>
      <c r="N56" s="83"/>
    </row>
    <row r="57" spans="2:14" ht="15" customHeight="1" x14ac:dyDescent="0.35">
      <c r="B57" s="4">
        <v>45139</v>
      </c>
      <c r="C57" s="5">
        <v>4.6082160875216903E-2</v>
      </c>
      <c r="D57" s="5">
        <v>5.2999999999999999E-2</v>
      </c>
      <c r="E57" s="6">
        <v>9.5199999999999993E-2</v>
      </c>
      <c r="F57" s="5">
        <v>4.6399999999999997E-2</v>
      </c>
      <c r="G57" s="5">
        <v>5.56864223122586E-2</v>
      </c>
      <c r="H57" s="5">
        <v>3.7225000000000001E-2</v>
      </c>
      <c r="M57" s="83"/>
      <c r="N57" s="83"/>
    </row>
    <row r="58" spans="2:14" ht="15" customHeight="1" x14ac:dyDescent="0.35">
      <c r="B58" s="4">
        <v>45170</v>
      </c>
      <c r="C58" s="5">
        <v>5.1852346297756299E-2</v>
      </c>
      <c r="D58" s="5">
        <v>5.0999999999999997E-2</v>
      </c>
      <c r="E58" s="6">
        <v>9.3100000000000002E-2</v>
      </c>
      <c r="F58" s="5">
        <v>4.4500000000000005E-2</v>
      </c>
      <c r="G58" s="5">
        <v>5.0431196100487297E-2</v>
      </c>
      <c r="H58" s="5">
        <v>3.6872099999999998E-2</v>
      </c>
      <c r="M58" s="83"/>
      <c r="N58" s="83"/>
    </row>
    <row r="59" spans="2:14" ht="15" customHeight="1" x14ac:dyDescent="0.35">
      <c r="B59" s="4">
        <v>45200</v>
      </c>
      <c r="C59" s="5">
        <v>4.8192456435899297E-2</v>
      </c>
      <c r="D59" s="5">
        <v>0.05</v>
      </c>
      <c r="E59" s="6">
        <v>9.1799999999999993E-2</v>
      </c>
      <c r="F59" s="5">
        <v>4.2599999999999999E-2</v>
      </c>
      <c r="G59" s="5">
        <v>4.3437645959832002E-2</v>
      </c>
      <c r="H59" s="5">
        <v>3.2512699999999999E-2</v>
      </c>
      <c r="M59" s="83"/>
      <c r="N59" s="83"/>
    </row>
    <row r="60" spans="2:14" ht="15" customHeight="1" x14ac:dyDescent="0.35">
      <c r="B60" s="4">
        <v>45231</v>
      </c>
      <c r="C60" s="5">
        <v>4.6835370295706703E-2</v>
      </c>
      <c r="D60" s="5">
        <v>4.8000000000000001E-2</v>
      </c>
      <c r="E60" s="6">
        <v>9.1799999999999993E-2</v>
      </c>
      <c r="F60" s="5">
        <v>4.3200000000000002E-2</v>
      </c>
      <c r="G60" s="5">
        <v>3.64312267657994E-2</v>
      </c>
      <c r="H60" s="5">
        <v>3.13335E-2</v>
      </c>
      <c r="M60" s="83"/>
      <c r="N60" s="83"/>
    </row>
    <row r="61" spans="2:14" ht="15" customHeight="1" x14ac:dyDescent="0.35">
      <c r="B61" s="4">
        <v>45261</v>
      </c>
      <c r="C61" s="5">
        <v>4.6211139305667899E-2</v>
      </c>
      <c r="D61" s="5">
        <v>3.9E-2</v>
      </c>
      <c r="E61" s="6">
        <v>9.2799999999999994E-2</v>
      </c>
      <c r="F61" s="5">
        <v>4.6600000000000003E-2</v>
      </c>
      <c r="G61" s="5">
        <v>3.2362161165406599E-2</v>
      </c>
      <c r="H61" s="5">
        <v>3.3159100000000004E-2</v>
      </c>
      <c r="M61" s="83"/>
      <c r="N61" s="83"/>
    </row>
    <row r="62" spans="2:14" ht="15" customHeight="1" x14ac:dyDescent="0.35">
      <c r="B62" s="4">
        <v>45292</v>
      </c>
      <c r="C62" s="5">
        <v>4.5066374306924402E-2</v>
      </c>
      <c r="D62" s="5">
        <v>3.7999999999999999E-2</v>
      </c>
      <c r="E62" s="6">
        <v>6.5099999999999991E-2</v>
      </c>
      <c r="F62" s="5">
        <v>4.8799999999999996E-2</v>
      </c>
      <c r="G62" s="5">
        <v>3.0266789328426798E-2</v>
      </c>
      <c r="H62" s="5">
        <v>3.0883400000000002E-2</v>
      </c>
      <c r="M62" s="83"/>
      <c r="N62" s="83"/>
    </row>
    <row r="63" spans="2:14" ht="15" customHeight="1" x14ac:dyDescent="0.35">
      <c r="B63" s="4">
        <v>45323</v>
      </c>
      <c r="C63" s="5">
        <v>4.49627382126856E-2</v>
      </c>
      <c r="D63" s="5">
        <v>4.4999999999999998E-2</v>
      </c>
      <c r="E63" s="6">
        <v>7.0699999999999999E-2</v>
      </c>
      <c r="F63" s="5">
        <v>4.4000000000000004E-2</v>
      </c>
      <c r="G63" s="5">
        <v>3.30214639515687E-2</v>
      </c>
      <c r="H63" s="5">
        <v>3.15707E-2</v>
      </c>
      <c r="M63" s="83"/>
      <c r="N63" s="83"/>
    </row>
    <row r="64" spans="2:14" ht="15" customHeight="1" x14ac:dyDescent="0.35">
      <c r="B64" s="4">
        <v>45352</v>
      </c>
      <c r="C64" s="5">
        <v>3.9255961268817002E-2</v>
      </c>
      <c r="D64" s="5">
        <v>3.7000000000000005E-2</v>
      </c>
      <c r="E64" s="6">
        <v>7.2700000000000001E-2</v>
      </c>
      <c r="F64" s="5">
        <v>4.4199999999999996E-2</v>
      </c>
      <c r="G64" s="5">
        <v>3.0437539632213E-2</v>
      </c>
      <c r="H64" s="5">
        <v>3.4868299999999998E-2</v>
      </c>
      <c r="M64" s="83"/>
      <c r="N64" s="83"/>
    </row>
    <row r="65" spans="2:14" ht="15" customHeight="1" x14ac:dyDescent="0.35">
      <c r="B65" s="4">
        <v>45383</v>
      </c>
      <c r="C65" s="5">
        <v>3.6880164915653199E-2</v>
      </c>
      <c r="D65" s="5">
        <v>0.04</v>
      </c>
      <c r="E65" s="6">
        <v>7.0000000000000007E-2</v>
      </c>
      <c r="F65" s="5">
        <v>4.6500000000000007E-2</v>
      </c>
      <c r="G65" s="5">
        <v>2.41419691919647E-2</v>
      </c>
      <c r="H65" s="5">
        <v>3.3607999999999999E-2</v>
      </c>
      <c r="M65" s="83"/>
      <c r="N65" s="83"/>
    </row>
    <row r="66" spans="2:14" ht="15" customHeight="1" x14ac:dyDescent="0.35">
      <c r="B66" s="4">
        <v>45413</v>
      </c>
      <c r="C66" s="5">
        <v>3.9259516785658199E-2</v>
      </c>
      <c r="D66" s="5">
        <v>4.0999999999999995E-2</v>
      </c>
      <c r="E66" s="6">
        <v>6.3399999999999998E-2</v>
      </c>
      <c r="F66" s="5">
        <v>4.6900000000000004E-2</v>
      </c>
      <c r="G66" s="5">
        <v>2.0025143678160901E-2</v>
      </c>
      <c r="H66" s="5">
        <v>3.2442800000000001E-2</v>
      </c>
      <c r="M66" s="83"/>
      <c r="N66" s="83"/>
    </row>
    <row r="67" spans="2:14" ht="15" customHeight="1" x14ac:dyDescent="0.35">
      <c r="B67" s="4">
        <v>45444</v>
      </c>
      <c r="C67" s="5">
        <v>4.2275782396825799E-2</v>
      </c>
      <c r="D67" s="5">
        <v>4.2000000000000003E-2</v>
      </c>
      <c r="E67" s="6">
        <v>6.25E-2</v>
      </c>
      <c r="F67" s="5">
        <v>4.9800000000000004E-2</v>
      </c>
      <c r="G67" s="5">
        <v>2.2843780915550001E-2</v>
      </c>
      <c r="H67" s="5">
        <v>2.9702600000000003E-2</v>
      </c>
      <c r="M67" s="83"/>
      <c r="N67" s="83"/>
    </row>
    <row r="68" spans="2:14" ht="15" customHeight="1" x14ac:dyDescent="0.35">
      <c r="B68" s="4">
        <v>45474</v>
      </c>
      <c r="C68" s="5">
        <v>4.4982451428220001E-2</v>
      </c>
      <c r="D68" s="5">
        <v>4.5999999999999999E-2</v>
      </c>
      <c r="E68" s="6">
        <v>6.2899999999999998E-2</v>
      </c>
      <c r="F68" s="5">
        <v>5.57E-2</v>
      </c>
      <c r="G68" s="5">
        <v>2.1322343666009699E-2</v>
      </c>
      <c r="H68" s="5">
        <v>2.9414799999999998E-2</v>
      </c>
      <c r="M68" s="83"/>
      <c r="N68" s="83"/>
    </row>
    <row r="69" spans="2:14" ht="15" customHeight="1" x14ac:dyDescent="0.35">
      <c r="B69" s="4">
        <v>45505</v>
      </c>
      <c r="C69" s="5">
        <v>4.2375990160564897E-2</v>
      </c>
      <c r="D69" s="5">
        <v>4.7E-2</v>
      </c>
      <c r="E69" s="6">
        <v>5.0999999999999997E-2</v>
      </c>
      <c r="F69" s="5">
        <v>4.99E-2</v>
      </c>
      <c r="G69" s="5">
        <v>2.0349875044626702E-2</v>
      </c>
      <c r="H69" s="5">
        <v>2.6071399999999998E-2</v>
      </c>
      <c r="M69" s="83"/>
      <c r="N69" s="83"/>
    </row>
    <row r="70" spans="2:14" ht="15" customHeight="1" x14ac:dyDescent="0.35">
      <c r="B70" s="4">
        <v>45536</v>
      </c>
      <c r="C70" s="5">
        <v>4.4247401273958903E-2</v>
      </c>
      <c r="D70" s="5">
        <v>4.0999999999999995E-2</v>
      </c>
      <c r="E70" s="6">
        <v>5.2400000000000002E-2</v>
      </c>
      <c r="F70" s="5">
        <v>4.58E-2</v>
      </c>
      <c r="G70" s="5">
        <v>1.7758343744422599E-2</v>
      </c>
      <c r="H70" s="5">
        <v>2.4264800000000003E-2</v>
      </c>
      <c r="M70" s="83"/>
      <c r="N70" s="83"/>
    </row>
    <row r="71" spans="2:14" ht="15" customHeight="1" x14ac:dyDescent="0.35">
      <c r="B71" s="4">
        <v>45566</v>
      </c>
      <c r="C71" s="5">
        <v>4.7580992339478601E-2</v>
      </c>
      <c r="D71" s="5">
        <v>4.7E-2</v>
      </c>
      <c r="E71" s="6">
        <v>5.3899999999999997E-2</v>
      </c>
      <c r="F71" s="5">
        <v>4.7599999999999996E-2</v>
      </c>
      <c r="G71" s="5">
        <v>2.00537153088629E-2</v>
      </c>
      <c r="H71" s="5">
        <v>2.57884E-2</v>
      </c>
      <c r="M71" s="83"/>
      <c r="N71" s="83"/>
    </row>
    <row r="72" spans="2:14" ht="15" customHeight="1" x14ac:dyDescent="0.35">
      <c r="B72" s="4">
        <v>45597</v>
      </c>
      <c r="C72" s="5">
        <v>4.8730113890708797E-2</v>
      </c>
      <c r="D72" s="5">
        <v>4.2000000000000003E-2</v>
      </c>
      <c r="E72" s="6">
        <v>5.3600000000000002E-2</v>
      </c>
      <c r="F72" s="5">
        <v>4.5499999999999999E-2</v>
      </c>
      <c r="G72" s="5">
        <v>2.2686513629842201E-2</v>
      </c>
      <c r="H72" s="5">
        <v>2.7194699999999999E-2</v>
      </c>
      <c r="M72" s="83"/>
      <c r="N72" s="83"/>
    </row>
    <row r="73" spans="2:14" ht="15" customHeight="1" x14ac:dyDescent="0.35">
      <c r="B73" s="4">
        <v>45627</v>
      </c>
      <c r="C73" s="5">
        <v>4.8312957918595897E-2</v>
      </c>
      <c r="D73" s="5">
        <v>4.4999999999999998E-2</v>
      </c>
      <c r="E73" s="6">
        <v>5.2000000000000005E-2</v>
      </c>
      <c r="F73" s="5">
        <v>4.2099999999999999E-2</v>
      </c>
      <c r="G73" s="5">
        <v>1.9648120032151401E-2</v>
      </c>
      <c r="H73" s="5">
        <v>2.87069E-2</v>
      </c>
      <c r="M73" s="83"/>
      <c r="N73" s="83"/>
    </row>
    <row r="74" spans="2:14" ht="15" customHeight="1" x14ac:dyDescent="0.35">
      <c r="B74" s="4">
        <v>45658</v>
      </c>
      <c r="C74" s="5">
        <v>4.5598743926773301E-2</v>
      </c>
      <c r="D74" s="5">
        <v>4.9000000000000002E-2</v>
      </c>
      <c r="E74" s="7">
        <v>5.2999999999999999E-2</v>
      </c>
      <c r="F74" s="5">
        <v>3.5900000000000001E-2</v>
      </c>
      <c r="G74" s="5">
        <v>1.8573086882757401E-2</v>
      </c>
      <c r="H74" s="5">
        <v>2.99098E-2</v>
      </c>
      <c r="M74" s="83"/>
      <c r="N74" s="83"/>
    </row>
    <row r="75" spans="2:14" ht="15" customHeight="1" x14ac:dyDescent="0.35">
      <c r="B75" s="4">
        <v>45689</v>
      </c>
      <c r="C75" s="5">
        <v>5.0576304147787597E-2</v>
      </c>
      <c r="D75" s="5">
        <v>4.7E-2</v>
      </c>
      <c r="E75" s="7">
        <v>5.3899999999999997E-2</v>
      </c>
      <c r="F75" s="5">
        <v>3.7699999999999997E-2</v>
      </c>
      <c r="G75" s="5">
        <v>1.47398330669508E-2</v>
      </c>
      <c r="H75" s="5">
        <v>2.80158E-2</v>
      </c>
      <c r="M75" s="83"/>
      <c r="N75" s="83"/>
    </row>
    <row r="76" spans="2:14" ht="15" customHeight="1" x14ac:dyDescent="0.35">
      <c r="B76" s="4">
        <v>45717</v>
      </c>
      <c r="C76" s="5">
        <v>5.4771896416748497E-2</v>
      </c>
      <c r="D76" s="5">
        <v>4.9000000000000002E-2</v>
      </c>
      <c r="E76" s="7">
        <v>5.3899999999999997E-2</v>
      </c>
      <c r="F76" s="5">
        <v>3.7999999999999999E-2</v>
      </c>
      <c r="G76" s="5">
        <v>1.28351648351648E-2</v>
      </c>
      <c r="H76" s="5">
        <v>2.3819799999999999E-2</v>
      </c>
      <c r="M76" s="83"/>
      <c r="N76" s="83"/>
    </row>
    <row r="77" spans="2:14" ht="15" customHeight="1" x14ac:dyDescent="0.35">
      <c r="B77" s="4">
        <v>45748</v>
      </c>
      <c r="C77" s="5">
        <v>5.5297285884977398E-2</v>
      </c>
      <c r="D77" s="5">
        <v>4.4999999999999998E-2</v>
      </c>
      <c r="E77" s="7">
        <v>5.2900000000000003E-2</v>
      </c>
      <c r="F77" s="5">
        <v>3.9300000000000002E-2</v>
      </c>
      <c r="G77" s="5">
        <v>1.65361949159997E-2</v>
      </c>
      <c r="H77" s="5">
        <v>2.3253900000000001E-2</v>
      </c>
      <c r="M77" s="83"/>
      <c r="N77" s="83"/>
    </row>
    <row r="78" spans="2:14" ht="15" customHeight="1" x14ac:dyDescent="0.35">
      <c r="B78" s="4">
        <v>45778</v>
      </c>
      <c r="C78" s="5">
        <v>5.3196355592552799E-2</v>
      </c>
      <c r="D78" s="5">
        <v>4.4000000000000004E-2</v>
      </c>
      <c r="E78" s="7">
        <v>5.1699999999999996E-2</v>
      </c>
      <c r="F78" s="5">
        <v>4.4199999999999996E-2</v>
      </c>
      <c r="G78" s="5">
        <v>1.6902896381723698E-2</v>
      </c>
      <c r="H78" s="5">
        <v>2.3772700000000001E-2</v>
      </c>
      <c r="M78" s="83"/>
      <c r="N78" s="83"/>
    </row>
    <row r="79" spans="2:14" ht="15" customHeight="1" x14ac:dyDescent="0.35">
      <c r="B79" s="4">
        <v>45809</v>
      </c>
      <c r="C79" s="5">
        <v>5.3511652375985097E-2</v>
      </c>
      <c r="D79" s="5">
        <v>4.0999999999999995E-2</v>
      </c>
      <c r="E79" s="7">
        <v>5.2000000000000005E-2</v>
      </c>
      <c r="F79" s="5">
        <v>4.3200000000000002E-2</v>
      </c>
      <c r="G79" s="5">
        <v>0.016937090458</v>
      </c>
      <c r="H79" s="5">
        <v>2.6804499999999998E-2</v>
      </c>
      <c r="M79" s="83"/>
      <c r="N79" s="83"/>
    </row>
    <row r="80" spans="2:14" ht="15" customHeight="1" x14ac:dyDescent="0.35">
      <c r="B80" s="4">
        <v>45839</v>
      </c>
      <c r="C80" s="5">
        <v>5.2252224220126202E-2</v>
      </c>
      <c r="D80" s="5">
        <v>4.2999999999999997E-2</v>
      </c>
      <c r="E80" s="7">
        <v>5.1900000000000002E-2</v>
      </c>
      <c r="F80" s="5">
        <v>3.5099999999999999E-2</v>
      </c>
      <c r="G80" s="5">
        <v>0.016888009685</v>
      </c>
      <c r="H80" s="5">
        <v>2.7426200000000001E-2</v>
      </c>
      <c r="M80" s="83"/>
      <c r="N80" s="83"/>
    </row>
    <row r="81" spans="2:14" ht="15" customHeight="1" x14ac:dyDescent="0.35">
      <c r="B81" s="4">
        <v>45870</v>
      </c>
      <c r="C81" s="5">
        <v>5.1305007775039199E-2</v>
      </c>
      <c r="D81" s="5">
        <v>0.04</v>
      </c>
      <c r="E81" s="7">
        <v>5.1100000000000007E-2</v>
      </c>
      <c r="F81" s="5">
        <v>3.5699999999999996E-2</v>
      </c>
      <c r="G81" s="5">
        <v>0.011063307753</v>
      </c>
      <c r="H81" s="5">
        <v>2.93859E-2</v>
      </c>
      <c r="M81" s="83"/>
      <c r="N81" s="83"/>
    </row>
    <row r="82" spans="2:14" ht="15" customHeight="1" x14ac:dyDescent="0.35">
      <c r="B82" s="4">
        <v>45901</v>
      </c>
      <c r="C82" s="5">
        <v>5.1723687586976402E-2</v>
      </c>
      <c r="D82" s="5">
        <v>4.4000000000000004E-2</v>
      </c>
      <c r="E82" s="7">
        <v>5.0700000000000002E-2</v>
      </c>
      <c r="F82" s="5">
        <v>3.7599999999999995E-2</v>
      </c>
      <c r="G82" s="5">
        <v>0.013583934214</v>
      </c>
      <c r="H82" s="5">
        <v>3.0225700000000001E-2</v>
      </c>
      <c r="M82" s="83"/>
      <c r="N82" s="83"/>
    </row>
    <row r="83" spans="2:14" ht="15" customHeight="1" x14ac:dyDescent="0.35">
      <c r="B83" s="4">
        <v>45931</v>
      </c>
      <c r="C83" s="5">
        <v>4.6808113470370602E-2</v>
      </c>
      <c r="D83" s="5">
        <v>3.4000000000000002E-2</v>
      </c>
      <c r="E83" s="7">
        <v>5.0799999999999998E-2</v>
      </c>
      <c r="F83" s="5">
        <v>3.5699999999999996E-2</v>
      </c>
      <c r="G83" s="5">
        <v>0.013517747565</v>
      </c>
      <c r="H83" s="5">
        <v>3.0225700000000001E-2</v>
      </c>
      <c r="M83" s="83"/>
      <c r="N83" s="83"/>
    </row>
    <row r="84" spans="2:14" ht="15" customHeight="1" x14ac:dyDescent="0.35">
      <c r="B84" s="4">
        <v>45962</v>
      </c>
      <c r="C84" s="5">
        <v>4.4618356484328298E-2</v>
      </c>
      <c r="D84" s="5">
        <v>3.4000000000000002E-2</v>
      </c>
      <c r="E84" s="7">
        <v>5.0999999999999997E-2</v>
      </c>
      <c r="F84" s="5">
        <v>3.7999999999999999E-2</v>
      </c>
      <c r="G84" s="5">
        <v>0.013686125699</v>
      </c>
      <c r="H84" s="5">
        <v>2.6964399999999999E-2</v>
      </c>
      <c r="M84" s="83"/>
      <c r="N84" s="83"/>
    </row>
    <row r="85" spans="2:14" ht="15" customHeight="1" x14ac:dyDescent="0.35">
      <c r="B85" s="4">
        <v>45992</v>
      </c>
      <c r="C85" s="5">
        <v>4.2643849045689498E-2</v>
      </c>
      <c r="D85" s="5">
        <v>3.5000000000000003E-2</v>
      </c>
      <c r="E85" s="7">
        <v>5.0999999999999997E-2</v>
      </c>
      <c r="F85" s="5">
        <v>3.6900000000000002E-2</v>
      </c>
      <c r="G85" s="5">
        <v>0.015087997392</v>
      </c>
      <c r="H85" s="5">
        <v>2.6533000000000001E-2</v>
      </c>
      <c r="M85" s="83"/>
      <c r="N85" s="83"/>
    </row>
    <row r="86" spans="2:14" ht="15" customHeight="1" x14ac:dyDescent="0.35">
      <c r="B86" s="4">
        <v>46023</v>
      </c>
      <c r="C86" s="5">
        <v>0.044413512105</v>
      </c>
      <c r="D86" s="5">
        <v>0.027824621</v>
      </c>
      <c r="E86" s="87">
        <v>0.053536</v>
      </c>
      <c r="F86" s="5">
        <v>0.03791301</v>
      </c>
      <c r="G86" s="5">
        <v>0.017009169483</v>
      </c>
      <c r="H86" s="5">
        <v>0.02386431</v>
      </c>
      <c r="M86" s="83"/>
      <c r="N86" s="83"/>
    </row>
    <row r="87" spans="2:14" ht="15" customHeight="1" x14ac:dyDescent="0.35">
      <c r="B87" s="4">
        <v>46054</v>
      </c>
      <c r="C87" s="5">
        <v>0.038124969539</v>
      </c>
      <c r="D87" s="5">
        <v>0.023702874</v>
      </c>
      <c r="E87" s="87">
        <v>0.0529</v>
      </c>
      <c r="F87" s="5">
        <v>0.04023038</v>
      </c>
      <c r="G87" s="5">
        <v>0.022141662577</v>
      </c>
      <c r="H87" s="5">
        <v>0.02414113</v>
      </c>
      <c r="M87" s="83"/>
      <c r="N87" s="83"/>
    </row>
    <row r="88" spans="2:14" ht="15" customHeight="1" x14ac:dyDescent="0.35">
      <c r="B88" s="4">
        <v>46082</v>
      </c>
      <c r="C88" s="5">
        <v>0.041428469807</v>
      </c>
      <c r="D88" s="5">
        <v>0.028319406</v>
      </c>
      <c r="E88" s="87">
        <v>0.055589</v>
      </c>
      <c r="F88" s="5">
        <v>0.04586774</v>
      </c>
      <c r="G88" s="5">
        <v>0.038045458129</v>
      </c>
      <c r="H88" s="5">
        <v>0.0325642</v>
      </c>
      <c r="M88" s="83"/>
      <c r="N88" s="83"/>
    </row>
    <row r="89" spans="2:14" ht="15" customHeight="1" x14ac:dyDescent="0.35">
      <c r="B89" s="4">
        <v>46113</v>
      </c>
      <c r="C89" s="87">
        <v>0.043917196597</v>
      </c>
      <c r="D89" s="87">
        <v>0.039570012</v>
      </c>
      <c r="E89" s="87">
        <v>0.056813</v>
      </c>
      <c r="F89" s="87">
        <v>0.04448503</v>
      </c>
      <c r="G89" s="87">
        <v>0.040141436347</v>
      </c>
      <c r="H89" s="5">
        <v>0.03810845</v>
      </c>
      <c r="M89" s="83"/>
      <c r="N89" s="83"/>
    </row>
    <row r="90" spans="2:14" ht="15" customHeight="1" x14ac:dyDescent="0.35">
      <c r="B90" s="4">
        <v>46143</v>
      </c>
      <c r="C90" s="87">
        <v>0.047249068792</v>
      </c>
      <c r="D90" s="87">
        <v>0.039308176</v>
      </c>
      <c r="E90" s="87">
        <v>0.058421</v>
      </c>
      <c r="F90" s="87">
        <v>0.03938948</v>
      </c>
      <c r="G90" s="87">
        <v>0.039050524062</v>
      </c>
      <c r="H90" s="5">
        <v>0.04248674</v>
      </c>
      <c r="M90" s="83"/>
      <c r="N90" s="83"/>
    </row>
    <row r="91" x14ac:dyDescent="0.35">
      <c r="B91" s="4">
        <v>46174</v>
      </c>
      <c r="C91" s="87">
        <v>0.046413275481</v>
      </c>
      <c r="D91" s="87">
        <v>0.043369242</v>
      </c>
      <c r="E91" s="87">
        <v>0.061437</v>
      </c>
      <c r="F91" s="87">
        <v>0.03365977</v>
      </c>
      <c r="G91" s="87">
        <v>0.040089096565</v>
      </c>
      <c r="H91" s="5">
        <v>0.03531425</v>
      </c>
    </row>
    <row r="92" ht="15" customHeight="1" x14ac:dyDescent="0.35">
      <c r="B92" s="4">
        <v>46204</v>
      </c>
      <c r="C92" s="87">
        <v>0.044430246091</v>
      </c>
      <c r="D92" s="87">
        <v>0.035260541</v>
      </c>
      <c r="E92" s="87">
        <v>0.060263</v>
      </c>
      <c r="F92" s="87">
        <v>0.0311763</v>
      </c>
      <c r="G92" s="87">
        <v>0.040651525621</v>
      </c>
      <c r="H92" s="5">
        <v>0.03364825</v>
      </c>
    </row>
    <row r="93" ht="15" customHeight="1" x14ac:dyDescent="0.35">
      <c r="B93" s="4">
        <v>46235</v>
      </c>
      <c r="C93" s="87">
        <v>0.04223452726</v>
      </c>
      <c r="D93" s="87">
        <v>0.041321553</v>
      </c>
      <c r="E93" s="87">
        <v>0.062417</v>
      </c>
      <c r="F93" s="87">
        <v>0.03261942</v>
      </c>
      <c r="G93" s="87">
        <v>0.044378092978</v>
      </c>
      <c r="H93" s="5">
        <v>0.03396548</v>
      </c>
    </row>
    <row r="94" x14ac:dyDescent="0.35">
      <c r="B94" s="4">
        <v>46266</v>
      </c>
      <c r="G94" s="87">
        <v>0.045486546948</v>
      </c>
      <c r="H94" s="5">
        <v>3.6999999999999998E-2</v>
      </c>
    </row>
    <row r="97" spans="2:7" x14ac:dyDescent="0.35">
      <c r="B97" s="2" t="s">
        <v>80</v>
      </c>
      <c r="C97" s="37" t="s">
        <v>112</v>
      </c>
      <c r="D97" s="37"/>
      <c r="E97" s="37"/>
      <c r="F97" s="37"/>
      <c r="G97" s="37"/>
    </row>
    <row r="98" spans="2:7" x14ac:dyDescent="0.35">
      <c r="B98" s="2" t="s">
        <v>82</v>
      </c>
      <c r="C98" s="38" t="s">
        <v>113</v>
      </c>
      <c r="D98" s="38"/>
      <c r="E98" s="38"/>
      <c r="F98" s="38"/>
      <c r="G98" s="38"/>
    </row>
    <row r="99" spans="2:7" x14ac:dyDescent="0.35">
      <c r="B99" s="85" t="s">
        <v>244</v>
      </c>
      <c r="C99" s="14" t="s">
        <v>245</v>
      </c>
    </row>
    <row r="100" spans="2:7" x14ac:dyDescent="0.35">
      <c r="B100" s="85" t="s">
        <v>246</v>
      </c>
      <c r="C100" s="14" t="s">
        <v>171</v>
      </c>
    </row>
    <row r="101" spans="2:7" x14ac:dyDescent="0.35">
      <c r="C101" s="14"/>
    </row>
  </sheetData>
  <mergeCells count="2">
    <mergeCell ref="C97:G97"/>
    <mergeCell ref="C98:G98"/>
  </mergeCells>
  <conditionalFormatting sqref="C7:G21">
    <cfRule type="colorScale" priority="6">
      <colorScale>
        <cfvo type="num" val="-0.06"/>
        <cfvo type="num" val="0"/>
        <cfvo type="num" val="0.06"/>
        <color rgb="FFF8696B"/>
        <color rgb="FFFFFFFF"/>
        <color rgb="FF63BE7B"/>
      </colorScale>
    </cfRule>
  </conditionalFormatting>
  <conditionalFormatting sqref="C7:G22">
    <cfRule type="colorScale" priority="4">
      <colorScale>
        <cfvo type="min"/>
        <cfvo type="max"/>
        <color rgb="FFFCFCFF"/>
        <color rgb="FFF8696B"/>
      </colorScale>
    </cfRule>
  </conditionalFormatting>
  <conditionalFormatting sqref="H7:H21">
    <cfRule type="colorScale" priority="3">
      <colorScale>
        <cfvo type="num" val="-0.06"/>
        <cfvo type="num" val="0"/>
        <cfvo type="num" val="0.06"/>
        <color rgb="FFF8696B"/>
        <color rgb="FFFFFFFF"/>
        <color rgb="FF63BE7B"/>
      </colorScale>
    </cfRule>
  </conditionalFormatting>
  <conditionalFormatting sqref="H7:H21">
    <cfRule type="colorScale" priority="2">
      <colorScale>
        <cfvo type="min"/>
        <cfvo type="max"/>
        <color rgb="FFFCFCFF"/>
        <color rgb="FFF8696B"/>
      </colorScale>
    </cfRule>
  </conditionalFormatting>
  <conditionalFormatting sqref="H22">
    <cfRule type="colorScale" priority="1">
      <colorScale>
        <cfvo type="min"/>
        <cfvo type="max"/>
        <color rgb="FFFCFCFF"/>
        <color rgb="FFF8696B"/>
      </colorScale>
    </cfRule>
  </conditionalFormatting>
  <hyperlinks>
    <hyperlink ref="C99" r:id="rId1" display="https://www.bls.gov/charts/consumer-price-index/consumer-price-index-by-category-line-chart.htm" xr:uid="{7154C8F1-1B7F-47EE-919A-91ACCAD43546}"/>
    <hyperlink ref="C100" r:id="rId2" xr:uid="{8105664F-363F-470C-AED3-758EDA889CED}"/>
  </hyperlinks>
  <printOptions horizontalCentered="1"/>
  <pageMargins left="0.4" right="0.4" top="0.5" bottom="0.5" header="0.511811023622047" footer="0.511811023622047"/>
  <pageSetup paperSize="9" fitToHeight="0" orientation="landscape" horizontalDpi="300" verticalDpi="30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F78"/>
  <sheetViews>
    <sheetView showGridLines="0" zoomScaleNormal="100" workbookViewId="0">
      <selection activeCell="B9" sqref="B9"/>
    </sheetView>
  </sheetViews>
  <sheetFormatPr baseColWidth="10" defaultColWidth="8.7265625" defaultRowHeight="14.5" x14ac:dyDescent="0.35"/>
  <cols>
    <col min="1" max="1" width="3" customWidth="1"/>
    <col min="2" max="2" width="12" customWidth="1"/>
    <col min="3" max="6" width="17" customWidth="1"/>
  </cols>
  <sheetData>
    <row r="2" spans="2:6" ht="19.5" customHeight="1" x14ac:dyDescent="0.4">
      <c r="B2" s="62" t="s">
        <v>114</v>
      </c>
    </row>
    <row r="3" spans="2:6" ht="15" customHeight="1" x14ac:dyDescent="0.35">
      <c r="B3" s="1" t="s">
        <v>115</v>
      </c>
    </row>
    <row r="5" spans="2:6" ht="15" customHeight="1" x14ac:dyDescent="0.35">
      <c r="B5" s="63" t="s">
        <v>116</v>
      </c>
    </row>
    <row r="6" spans="2:6" ht="15" customHeight="1" x14ac:dyDescent="0.35">
      <c r="B6" s="61" t="s">
        <v>79</v>
      </c>
      <c r="C6" s="61" t="s">
        <v>117</v>
      </c>
      <c r="D6" s="61" t="s">
        <v>118</v>
      </c>
      <c r="E6" s="61" t="s">
        <v>119</v>
      </c>
      <c r="F6" s="61" t="s">
        <v>120</v>
      </c>
    </row>
    <row r="7" spans="2:6" ht="15" customHeight="1" x14ac:dyDescent="0.35">
      <c r="B7" s="4">
        <v>44197</v>
      </c>
      <c r="C7" s="6">
        <v>-7.0000000000000007E-2</v>
      </c>
      <c r="D7" s="3"/>
      <c r="E7" s="3"/>
      <c r="F7" s="3"/>
    </row>
    <row r="8" spans="2:6" ht="15" customHeight="1" x14ac:dyDescent="0.35">
      <c r="B8" s="4">
        <v>44228</v>
      </c>
      <c r="C8" s="6">
        <v>-0.08</v>
      </c>
      <c r="D8" s="3"/>
      <c r="E8" s="3"/>
      <c r="F8" s="3"/>
    </row>
    <row r="9" spans="2:6" ht="15" customHeight="1" x14ac:dyDescent="0.35">
      <c r="B9" s="4">
        <v>44256</v>
      </c>
      <c r="C9" s="6">
        <v>0.06</v>
      </c>
      <c r="D9" s="3"/>
      <c r="E9" s="3"/>
      <c r="F9" s="3"/>
    </row>
    <row r="10" spans="2:6" ht="15" customHeight="1" x14ac:dyDescent="0.35">
      <c r="B10" s="4">
        <v>44287</v>
      </c>
      <c r="C10" s="6">
        <v>0.47</v>
      </c>
      <c r="D10" s="3"/>
      <c r="E10" s="3"/>
      <c r="F10" s="3"/>
    </row>
    <row r="11" spans="2:6" ht="15" customHeight="1" x14ac:dyDescent="0.35">
      <c r="B11" s="4">
        <v>44317</v>
      </c>
      <c r="C11" s="6">
        <v>0.27</v>
      </c>
      <c r="D11" s="3"/>
      <c r="E11" s="3"/>
      <c r="F11" s="3"/>
    </row>
    <row r="12" spans="2:6" ht="15" customHeight="1" x14ac:dyDescent="0.35">
      <c r="B12" s="4">
        <v>44348</v>
      </c>
      <c r="C12" s="6">
        <v>0.21</v>
      </c>
      <c r="D12" s="3"/>
      <c r="E12" s="3"/>
      <c r="F12" s="3"/>
    </row>
    <row r="13" spans="2:6" ht="15" customHeight="1" x14ac:dyDescent="0.35">
      <c r="B13" s="4">
        <v>44378</v>
      </c>
      <c r="C13" s="6">
        <v>0.15</v>
      </c>
      <c r="D13" s="3"/>
      <c r="E13" s="3"/>
      <c r="F13" s="3"/>
    </row>
    <row r="14" spans="2:6" ht="15" customHeight="1" x14ac:dyDescent="0.35">
      <c r="B14" s="4">
        <v>44409</v>
      </c>
      <c r="C14" s="6">
        <v>0.05</v>
      </c>
      <c r="D14" s="3"/>
      <c r="E14" s="3"/>
      <c r="F14" s="3"/>
    </row>
    <row r="15" spans="2:6" ht="15" customHeight="1" x14ac:dyDescent="0.35">
      <c r="B15" s="4">
        <v>44440</v>
      </c>
      <c r="C15" s="6">
        <v>0.11</v>
      </c>
      <c r="D15" s="3"/>
      <c r="E15" s="3"/>
      <c r="F15" s="3"/>
    </row>
    <row r="16" spans="2:6" ht="15" customHeight="1" x14ac:dyDescent="0.35">
      <c r="B16" s="4">
        <v>44470</v>
      </c>
      <c r="C16" s="6">
        <v>0.11</v>
      </c>
      <c r="D16" s="3"/>
      <c r="E16" s="3"/>
      <c r="F16" s="3"/>
    </row>
    <row r="17" spans="2:6" ht="15" customHeight="1" x14ac:dyDescent="0.35">
      <c r="B17" s="4">
        <v>44501</v>
      </c>
      <c r="C17" s="6">
        <v>0.09</v>
      </c>
      <c r="D17" s="3"/>
      <c r="E17" s="3"/>
      <c r="F17" s="3"/>
    </row>
    <row r="18" spans="2:6" ht="15" customHeight="1" x14ac:dyDescent="0.35">
      <c r="B18" s="4">
        <v>44531</v>
      </c>
      <c r="C18" s="6">
        <v>0.12</v>
      </c>
      <c r="D18" s="3"/>
      <c r="E18" s="3"/>
      <c r="F18" s="3"/>
    </row>
    <row r="19" spans="2:6" ht="15" customHeight="1" x14ac:dyDescent="0.35">
      <c r="B19" s="4">
        <v>44562</v>
      </c>
      <c r="C19" s="6">
        <v>0.21</v>
      </c>
      <c r="D19" s="3"/>
      <c r="E19" s="3"/>
      <c r="F19" s="3"/>
    </row>
    <row r="20" spans="2:6" ht="15" customHeight="1" x14ac:dyDescent="0.35">
      <c r="B20" s="4">
        <v>44593</v>
      </c>
      <c r="C20" s="6">
        <v>0.11</v>
      </c>
      <c r="D20" s="3"/>
      <c r="E20" s="3"/>
      <c r="F20" s="3"/>
    </row>
    <row r="21" spans="2:6" ht="15" customHeight="1" x14ac:dyDescent="0.35">
      <c r="B21" s="4">
        <v>44621</v>
      </c>
      <c r="C21" s="6">
        <v>0.09</v>
      </c>
      <c r="D21" s="3"/>
      <c r="E21" s="3"/>
      <c r="F21" s="3"/>
    </row>
    <row r="22" spans="2:6" ht="15" customHeight="1" x14ac:dyDescent="0.35">
      <c r="B22" s="4">
        <v>44652</v>
      </c>
      <c r="C22" s="6">
        <v>0.14000000000000001</v>
      </c>
      <c r="D22" s="3"/>
      <c r="E22" s="3"/>
      <c r="F22" s="3"/>
    </row>
    <row r="23" spans="2:6" ht="15" customHeight="1" x14ac:dyDescent="0.35">
      <c r="B23" s="4">
        <v>44682</v>
      </c>
      <c r="C23" s="6">
        <v>0.11</v>
      </c>
      <c r="D23" s="3"/>
      <c r="E23" s="3"/>
      <c r="F23" s="3"/>
    </row>
    <row r="24" spans="2:6" ht="15" customHeight="1" x14ac:dyDescent="0.35">
      <c r="B24" s="4">
        <v>44713</v>
      </c>
      <c r="C24" s="6">
        <v>0.08</v>
      </c>
      <c r="D24" s="3"/>
      <c r="E24" s="3"/>
      <c r="F24" s="3"/>
    </row>
    <row r="25" spans="2:6" ht="15" customHeight="1" x14ac:dyDescent="0.35">
      <c r="B25" s="4">
        <v>44743</v>
      </c>
      <c r="C25" s="6">
        <v>0.12</v>
      </c>
      <c r="D25" s="3"/>
      <c r="E25" s="3"/>
      <c r="F25" s="3"/>
    </row>
    <row r="26" spans="2:6" ht="15" customHeight="1" x14ac:dyDescent="0.35">
      <c r="B26" s="4">
        <v>44774</v>
      </c>
      <c r="C26" s="6">
        <v>0.12</v>
      </c>
      <c r="D26" s="3"/>
      <c r="E26" s="3"/>
      <c r="F26" s="3"/>
    </row>
    <row r="27" spans="2:6" ht="15" customHeight="1" x14ac:dyDescent="0.35">
      <c r="B27" s="4">
        <v>44805</v>
      </c>
      <c r="C27" s="6">
        <v>0.08</v>
      </c>
      <c r="D27" s="3"/>
      <c r="E27" s="3"/>
      <c r="F27" s="3"/>
    </row>
    <row r="28" spans="2:6" ht="15" customHeight="1" x14ac:dyDescent="0.35">
      <c r="B28" s="4">
        <v>44835</v>
      </c>
      <c r="C28" s="6">
        <v>0.1</v>
      </c>
      <c r="D28" s="3"/>
      <c r="E28" s="3"/>
      <c r="F28" s="3"/>
    </row>
    <row r="29" spans="2:6" ht="15" customHeight="1" x14ac:dyDescent="0.35">
      <c r="B29" s="4">
        <v>44866</v>
      </c>
      <c r="C29" s="6">
        <v>0.06</v>
      </c>
      <c r="D29" s="3"/>
      <c r="E29" s="3"/>
      <c r="F29" s="3"/>
    </row>
    <row r="30" spans="2:6" ht="15" customHeight="1" x14ac:dyDescent="0.35">
      <c r="B30" s="4">
        <v>44896</v>
      </c>
      <c r="C30" s="6">
        <v>0.1</v>
      </c>
      <c r="D30" s="3"/>
      <c r="E30" s="3"/>
      <c r="F30" s="3"/>
    </row>
    <row r="31" spans="2:6" ht="15" customHeight="1" x14ac:dyDescent="0.35">
      <c r="B31" s="4">
        <v>44927</v>
      </c>
      <c r="C31" s="6">
        <v>0.11</v>
      </c>
      <c r="D31" s="3"/>
      <c r="E31" s="3"/>
      <c r="F31" s="3"/>
    </row>
    <row r="32" spans="2:6" ht="15" customHeight="1" x14ac:dyDescent="0.35">
      <c r="B32" s="4">
        <v>44958</v>
      </c>
      <c r="C32" s="6">
        <v>7.0000000000000007E-2</v>
      </c>
      <c r="D32" s="3"/>
      <c r="E32" s="3"/>
      <c r="F32" s="3"/>
    </row>
    <row r="33" spans="2:6" ht="15" customHeight="1" x14ac:dyDescent="0.35">
      <c r="B33" s="4">
        <v>44986</v>
      </c>
      <c r="C33" s="6">
        <v>0.04</v>
      </c>
      <c r="D33" s="3"/>
      <c r="E33" s="3"/>
      <c r="F33" s="3"/>
    </row>
    <row r="34" spans="2:6" ht="15" customHeight="1" x14ac:dyDescent="0.35">
      <c r="B34" s="4">
        <v>45017</v>
      </c>
      <c r="C34" s="6">
        <v>0.01</v>
      </c>
      <c r="D34" s="3"/>
      <c r="E34" s="3"/>
      <c r="F34" s="3"/>
    </row>
    <row r="35" spans="2:6" ht="15" customHeight="1" x14ac:dyDescent="0.35">
      <c r="B35" s="4">
        <v>45047</v>
      </c>
      <c r="C35" s="6">
        <v>0.06</v>
      </c>
      <c r="D35" s="3"/>
      <c r="E35" s="3"/>
      <c r="F35" s="3"/>
    </row>
    <row r="36" spans="2:6" ht="15" customHeight="1" x14ac:dyDescent="0.35">
      <c r="B36" s="4">
        <v>45078</v>
      </c>
      <c r="C36" s="6">
        <v>0.05</v>
      </c>
      <c r="D36" s="3"/>
      <c r="E36" s="3"/>
      <c r="F36" s="3"/>
    </row>
    <row r="37" spans="2:6" ht="15" customHeight="1" x14ac:dyDescent="0.35">
      <c r="B37" s="4">
        <v>45108</v>
      </c>
      <c r="C37" s="6">
        <v>0.09</v>
      </c>
      <c r="D37" s="3"/>
      <c r="E37" s="3"/>
      <c r="F37" s="3"/>
    </row>
    <row r="38" spans="2:6" ht="15" customHeight="1" x14ac:dyDescent="0.35">
      <c r="B38" s="4">
        <v>45139</v>
      </c>
      <c r="C38" s="6">
        <v>0.03</v>
      </c>
      <c r="D38" s="3"/>
      <c r="E38" s="3"/>
      <c r="F38" s="3"/>
    </row>
    <row r="39" spans="2:6" ht="15" customHeight="1" x14ac:dyDescent="0.35">
      <c r="B39" s="4">
        <v>45170</v>
      </c>
      <c r="C39" s="6">
        <v>0.05</v>
      </c>
      <c r="D39" s="3"/>
      <c r="E39" s="3"/>
      <c r="F39" s="3"/>
    </row>
    <row r="40" spans="2:6" ht="15" customHeight="1" x14ac:dyDescent="0.35">
      <c r="B40" s="4">
        <v>45200</v>
      </c>
      <c r="C40" s="6">
        <v>0.04</v>
      </c>
      <c r="D40" s="3"/>
      <c r="E40" s="3"/>
      <c r="F40" s="3"/>
    </row>
    <row r="41" spans="2:6" ht="15" customHeight="1" x14ac:dyDescent="0.35">
      <c r="B41" s="4">
        <v>45231</v>
      </c>
      <c r="C41" s="6">
        <v>0.05</v>
      </c>
      <c r="D41" s="3"/>
      <c r="E41" s="3"/>
      <c r="F41" s="3"/>
    </row>
    <row r="42" spans="2:6" ht="15" customHeight="1" x14ac:dyDescent="0.35">
      <c r="B42" s="4">
        <v>45261</v>
      </c>
      <c r="C42" s="6">
        <v>0.03</v>
      </c>
      <c r="D42" s="3"/>
      <c r="E42" s="3"/>
      <c r="F42" s="3"/>
    </row>
    <row r="43" spans="2:6" ht="15" customHeight="1" x14ac:dyDescent="0.35">
      <c r="B43" s="4">
        <v>45292</v>
      </c>
      <c r="C43" s="6">
        <v>0.05</v>
      </c>
      <c r="D43" s="3"/>
      <c r="E43" s="3"/>
      <c r="F43" s="3"/>
    </row>
    <row r="44" spans="2:6" ht="15" customHeight="1" x14ac:dyDescent="0.35">
      <c r="B44" s="4">
        <v>45323</v>
      </c>
      <c r="C44" s="6">
        <v>0.09</v>
      </c>
      <c r="D44" s="3"/>
      <c r="E44" s="3"/>
      <c r="F44" s="3"/>
    </row>
    <row r="45" spans="2:6" ht="15" customHeight="1" x14ac:dyDescent="0.35">
      <c r="B45" s="4">
        <v>45352</v>
      </c>
      <c r="C45" s="6">
        <v>0.01</v>
      </c>
      <c r="D45" s="3"/>
      <c r="E45" s="3"/>
      <c r="F45" s="3"/>
    </row>
    <row r="46" spans="2:6" ht="15" customHeight="1" x14ac:dyDescent="0.35">
      <c r="B46" s="4">
        <v>45383</v>
      </c>
      <c r="C46" s="6">
        <v>5.0000000000000001E-3</v>
      </c>
      <c r="D46" s="3"/>
      <c r="E46" s="3"/>
      <c r="F46" s="3"/>
    </row>
    <row r="47" spans="2:6" ht="15" customHeight="1" x14ac:dyDescent="0.35">
      <c r="B47" s="4">
        <v>45413</v>
      </c>
      <c r="C47" s="6">
        <v>0.04</v>
      </c>
      <c r="D47" s="3"/>
      <c r="E47" s="3"/>
      <c r="F47" s="3"/>
    </row>
    <row r="48" spans="2:6" ht="15" customHeight="1" x14ac:dyDescent="0.35">
      <c r="B48" s="4">
        <v>45444</v>
      </c>
      <c r="C48" s="6">
        <v>0.08</v>
      </c>
      <c r="D48" s="3"/>
      <c r="E48" s="3"/>
      <c r="F48" s="3"/>
    </row>
    <row r="49" spans="2:6" ht="15" customHeight="1" x14ac:dyDescent="0.35">
      <c r="B49" s="4">
        <v>45474</v>
      </c>
      <c r="C49" s="6">
        <v>0.05</v>
      </c>
      <c r="D49" s="3"/>
      <c r="E49" s="3"/>
      <c r="F49" s="3"/>
    </row>
    <row r="50" spans="2:6" ht="15" customHeight="1" x14ac:dyDescent="0.35">
      <c r="B50" s="4">
        <v>45505</v>
      </c>
      <c r="C50" s="6">
        <v>0.04</v>
      </c>
      <c r="D50" s="3"/>
      <c r="E50" s="3"/>
      <c r="F50" s="3"/>
    </row>
    <row r="51" spans="2:6" ht="15" customHeight="1" x14ac:dyDescent="0.35">
      <c r="B51" s="4">
        <v>45536</v>
      </c>
      <c r="C51" s="6">
        <v>0.02</v>
      </c>
      <c r="D51" s="3"/>
      <c r="E51" s="3"/>
      <c r="F51" s="3"/>
    </row>
    <row r="52" spans="2:6" ht="15" customHeight="1" x14ac:dyDescent="0.35">
      <c r="B52" s="4">
        <v>45566</v>
      </c>
      <c r="C52" s="6">
        <v>0.02</v>
      </c>
      <c r="D52" s="3"/>
      <c r="E52" s="3"/>
      <c r="F52" s="3"/>
    </row>
    <row r="53" spans="2:6" ht="15" customHeight="1" x14ac:dyDescent="0.35">
      <c r="B53" s="4">
        <v>45597</v>
      </c>
      <c r="C53" s="6">
        <v>0.04</v>
      </c>
      <c r="D53" s="3"/>
      <c r="E53" s="3"/>
      <c r="F53" s="3"/>
    </row>
    <row r="54" spans="2:6" ht="15" customHeight="1" x14ac:dyDescent="0.35">
      <c r="B54" s="4">
        <v>45627</v>
      </c>
      <c r="C54" s="6">
        <v>0.01</v>
      </c>
      <c r="D54" s="3"/>
      <c r="E54" s="3"/>
      <c r="F54" s="3"/>
    </row>
    <row r="55" spans="2:6" ht="15" customHeight="1" x14ac:dyDescent="0.35">
      <c r="B55" s="4">
        <v>45658</v>
      </c>
      <c r="C55" s="6">
        <v>0.01</v>
      </c>
      <c r="D55" s="3"/>
      <c r="E55" s="3"/>
      <c r="F55" s="3"/>
    </row>
    <row r="56" spans="2:6" ht="15" customHeight="1" x14ac:dyDescent="0.35">
      <c r="B56" s="4">
        <v>45689</v>
      </c>
      <c r="C56" s="6">
        <v>-0.02</v>
      </c>
      <c r="D56" s="3"/>
      <c r="E56" s="3"/>
      <c r="F56" s="3"/>
    </row>
    <row r="57" spans="2:6" ht="15" customHeight="1" x14ac:dyDescent="0.35">
      <c r="B57" s="4">
        <v>45717</v>
      </c>
      <c r="C57" s="6">
        <v>0.03</v>
      </c>
      <c r="D57" s="3"/>
      <c r="E57" s="3"/>
      <c r="F57" s="3"/>
    </row>
    <row r="58" spans="2:6" ht="15" customHeight="1" x14ac:dyDescent="0.35">
      <c r="B58" s="4">
        <v>45748</v>
      </c>
      <c r="C58" s="6">
        <v>0.1</v>
      </c>
      <c r="D58" s="3"/>
      <c r="E58" s="3"/>
      <c r="F58" s="3"/>
    </row>
    <row r="59" spans="2:6" ht="15" customHeight="1" x14ac:dyDescent="0.35">
      <c r="B59" s="4">
        <v>45778</v>
      </c>
      <c r="C59" s="6">
        <v>0.04</v>
      </c>
      <c r="D59" s="3"/>
      <c r="E59" s="3"/>
      <c r="F59" s="3"/>
    </row>
    <row r="60" spans="2:6" ht="15" customHeight="1" x14ac:dyDescent="0.35">
      <c r="B60" s="4">
        <v>45809</v>
      </c>
      <c r="C60" s="6">
        <v>0.03</v>
      </c>
      <c r="D60" s="3"/>
      <c r="E60" s="3"/>
      <c r="F60" s="3"/>
    </row>
    <row r="61" spans="2:6" ht="15" customHeight="1" x14ac:dyDescent="0.35">
      <c r="B61" s="4">
        <v>45839</v>
      </c>
      <c r="C61" s="6">
        <v>0.08</v>
      </c>
      <c r="D61" s="3"/>
      <c r="E61" s="3"/>
      <c r="F61" s="3"/>
    </row>
    <row r="62" spans="2:6" ht="15" customHeight="1" x14ac:dyDescent="0.35">
      <c r="B62" s="4">
        <v>45870</v>
      </c>
      <c r="C62" s="6">
        <v>0.03</v>
      </c>
      <c r="D62" s="3"/>
      <c r="E62" s="3"/>
      <c r="F62" s="3"/>
    </row>
    <row r="63" spans="2:6" ht="15" customHeight="1" x14ac:dyDescent="0.35">
      <c r="B63" s="4">
        <v>45901</v>
      </c>
      <c r="C63" s="6">
        <v>0.01</v>
      </c>
      <c r="D63" s="3"/>
      <c r="E63" s="3"/>
      <c r="F63" s="3"/>
    </row>
    <row r="64" spans="2:6" ht="15" customHeight="1" x14ac:dyDescent="0.35">
      <c r="B64" s="4">
        <v>45931</v>
      </c>
      <c r="C64" s="6">
        <v>7.0000000000000007E-2</v>
      </c>
      <c r="D64" s="3"/>
      <c r="E64" s="3"/>
      <c r="F64" s="3"/>
    </row>
    <row r="65" spans="2:6" ht="15" customHeight="1" x14ac:dyDescent="0.35">
      <c r="B65" s="4">
        <v>45962</v>
      </c>
      <c r="C65" s="7">
        <v>4.2000000000000003E-2</v>
      </c>
      <c r="D65" s="3"/>
      <c r="E65" s="3"/>
      <c r="F65" s="3"/>
    </row>
    <row r="66" spans="2:6" ht="15" customHeight="1" x14ac:dyDescent="0.35">
      <c r="B66" s="4">
        <v>45992</v>
      </c>
      <c r="C66" s="5">
        <v>5.5E-2</v>
      </c>
      <c r="D66" s="3"/>
      <c r="E66" s="3"/>
      <c r="F66" s="3"/>
    </row>
    <row r="67" spans="2:6" ht="15" customHeight="1" x14ac:dyDescent="0.35">
      <c r="B67" s="4">
        <v>46023</v>
      </c>
      <c r="C67" s="5">
        <v>3.4000000000000002E-2</v>
      </c>
      <c r="D67" s="8"/>
      <c r="E67" s="8"/>
      <c r="F67" s="8"/>
    </row>
    <row r="68" spans="2:6" ht="15" customHeight="1" x14ac:dyDescent="0.35">
      <c r="B68" s="4">
        <v>46054</v>
      </c>
      <c r="C68" s="5">
        <v>1.0999999999999999E-2</v>
      </c>
      <c r="D68" s="5"/>
      <c r="E68" s="5"/>
      <c r="F68" s="5"/>
    </row>
    <row r="69" spans="2:6" ht="15" customHeight="1" x14ac:dyDescent="0.35">
      <c r="B69" s="4">
        <v>46082</v>
      </c>
      <c r="C69" s="5">
        <v>1.7000000000000001E-2</v>
      </c>
      <c r="D69" s="5"/>
      <c r="E69" s="5"/>
      <c r="F69" s="5"/>
    </row>
    <row r="70" spans="2:6" ht="15" customHeight="1" x14ac:dyDescent="0.35">
      <c r="B70" s="4">
        <v>46113</v>
      </c>
      <c r="C70" s="8"/>
      <c r="D70" s="8"/>
      <c r="E70" s="8"/>
      <c r="F70" s="8"/>
    </row>
    <row r="71" spans="2:6" ht="15" customHeight="1" x14ac:dyDescent="0.35">
      <c r="B71" s="4">
        <v>46143</v>
      </c>
      <c r="C71" s="8"/>
      <c r="D71" s="8"/>
      <c r="E71" s="8"/>
      <c r="F71" s="8"/>
    </row>
    <row r="73" spans="2:6" ht="15" customHeight="1" x14ac:dyDescent="0.35">
      <c r="B73" s="2" t="s">
        <v>80</v>
      </c>
      <c r="C73" s="37" t="s">
        <v>121</v>
      </c>
      <c r="D73" s="37"/>
      <c r="E73" s="37"/>
      <c r="F73" s="37"/>
    </row>
    <row r="74" spans="2:6" ht="15" customHeight="1" x14ac:dyDescent="0.35">
      <c r="B74" s="2" t="s">
        <v>82</v>
      </c>
      <c r="C74" s="38" t="s">
        <v>122</v>
      </c>
      <c r="D74" s="38"/>
      <c r="E74" s="38"/>
      <c r="F74" s="38"/>
    </row>
    <row r="75" spans="2:6" ht="15" customHeight="1" x14ac:dyDescent="0.35">
      <c r="B75" s="2" t="s">
        <v>82</v>
      </c>
      <c r="C75" s="38" t="s">
        <v>123</v>
      </c>
      <c r="D75" s="38"/>
      <c r="E75" s="38"/>
      <c r="F75" s="38"/>
    </row>
    <row r="76" spans="2:6" ht="15" customHeight="1" x14ac:dyDescent="0.35">
      <c r="B76" s="2" t="s">
        <v>82</v>
      </c>
      <c r="C76" s="38" t="s">
        <v>124</v>
      </c>
      <c r="D76" s="38"/>
      <c r="E76" s="38"/>
      <c r="F76" s="38"/>
    </row>
    <row r="77" spans="2:6" ht="15" customHeight="1" x14ac:dyDescent="0.35">
      <c r="B77" s="2" t="s">
        <v>82</v>
      </c>
      <c r="C77" s="38" t="s">
        <v>125</v>
      </c>
      <c r="D77" s="38"/>
      <c r="E77" s="38"/>
      <c r="F77" s="38"/>
    </row>
    <row r="78" spans="2:6" ht="15" customHeight="1" x14ac:dyDescent="0.35">
      <c r="B78" s="2" t="s">
        <v>82</v>
      </c>
      <c r="C78" s="38" t="s">
        <v>126</v>
      </c>
      <c r="D78" s="38"/>
      <c r="E78" s="38"/>
      <c r="F78" s="38"/>
    </row>
  </sheetData>
  <mergeCells count="6">
    <mergeCell ref="C78:F78"/>
    <mergeCell ref="C73:F73"/>
    <mergeCell ref="C74:F74"/>
    <mergeCell ref="C75:F75"/>
    <mergeCell ref="C76:F76"/>
    <mergeCell ref="C77:F77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8684-861C-4F3C-AC40-202E8F25043C}">
  <dimension ref="B3:H106"/>
  <sheetViews>
    <sheetView showGridLines="0" workbookViewId="0">
      <selection activeCell="D14" sqref="D14"/>
    </sheetView>
  </sheetViews>
  <sheetFormatPr baseColWidth="10" defaultRowHeight="14.5" x14ac:dyDescent="0.35"/>
  <cols>
    <col min="8" max="8" width="16.1796875" bestFit="1" customWidth="1"/>
  </cols>
  <sheetData>
    <row r="3" spans="2:8" ht="20" x14ac:dyDescent="0.4">
      <c r="B3" s="62" t="s">
        <v>242</v>
      </c>
    </row>
    <row r="5" spans="2:8" x14ac:dyDescent="0.35">
      <c r="B5" s="61" t="s">
        <v>79</v>
      </c>
      <c r="C5" s="61" t="s">
        <v>60</v>
      </c>
      <c r="D5" s="61" t="s">
        <v>61</v>
      </c>
      <c r="E5" s="61" t="s">
        <v>62</v>
      </c>
      <c r="F5" s="61" t="s">
        <v>63</v>
      </c>
      <c r="G5" s="61" t="s">
        <v>64</v>
      </c>
      <c r="H5" s="61" t="s">
        <v>243</v>
      </c>
    </row>
    <row r="6" spans="2:8" x14ac:dyDescent="0.35">
      <c r="B6" s="4">
        <v>43861</v>
      </c>
      <c r="C6" s="86">
        <v>0.05</v>
      </c>
      <c r="D6" s="86">
        <v>1.7500000000000002E-2</v>
      </c>
      <c r="E6" s="86">
        <v>4.2500000000000003E-2</v>
      </c>
      <c r="F6" s="86">
        <v>7.2499999999999995E-2</v>
      </c>
      <c r="G6" s="86">
        <v>2.2499999999999999E-2</v>
      </c>
      <c r="H6" s="86">
        <v>1.55E-2</v>
      </c>
    </row>
    <row r="7" spans="2:8" x14ac:dyDescent="0.35">
      <c r="B7" s="4">
        <v>43890</v>
      </c>
      <c r="C7" s="86">
        <v>0.05</v>
      </c>
      <c r="D7" s="86">
        <v>1.7500000000000002E-2</v>
      </c>
      <c r="E7" s="86">
        <v>4.2500000000000003E-2</v>
      </c>
      <c r="F7" s="86">
        <v>7.0000000000000007E-2</v>
      </c>
      <c r="G7" s="86">
        <v>2.2499999999999999E-2</v>
      </c>
      <c r="H7" s="86">
        <v>1.5800000000000002E-2</v>
      </c>
    </row>
    <row r="8" spans="2:8" x14ac:dyDescent="0.35">
      <c r="B8" s="4">
        <v>43921</v>
      </c>
      <c r="C8" s="86">
        <v>0.05</v>
      </c>
      <c r="D8" s="86">
        <v>0.01</v>
      </c>
      <c r="E8" s="86">
        <v>3.7499999999999999E-2</v>
      </c>
      <c r="F8" s="86">
        <v>6.5000000000000002E-2</v>
      </c>
      <c r="G8" s="86">
        <v>1.2500000000000001E-2</v>
      </c>
      <c r="H8" s="86">
        <v>6.5000000000000006E-3</v>
      </c>
    </row>
    <row r="9" spans="2:8" x14ac:dyDescent="0.35">
      <c r="B9" s="4">
        <v>43951</v>
      </c>
      <c r="C9" s="86">
        <v>0.05</v>
      </c>
      <c r="D9" s="86">
        <v>5.0000000000000001E-3</v>
      </c>
      <c r="E9" s="86">
        <v>3.7499999999999999E-2</v>
      </c>
      <c r="F9" s="86">
        <v>0.06</v>
      </c>
      <c r="G9" s="86">
        <v>2.5000000000000001E-3</v>
      </c>
      <c r="H9" s="86">
        <v>5.0000000000000001E-4</v>
      </c>
    </row>
    <row r="10" spans="2:8" x14ac:dyDescent="0.35">
      <c r="B10" s="4">
        <v>43982</v>
      </c>
      <c r="C10" s="86">
        <v>4.4999999999999998E-2</v>
      </c>
      <c r="D10" s="86">
        <v>5.0000000000000001E-3</v>
      </c>
      <c r="E10" s="86">
        <v>3.2500000000000001E-2</v>
      </c>
      <c r="F10" s="86">
        <v>5.5E-2</v>
      </c>
      <c r="G10" s="86">
        <v>2.5000000000000001E-3</v>
      </c>
      <c r="H10" s="86">
        <v>5.0000000000000001E-4</v>
      </c>
    </row>
    <row r="11" spans="2:8" x14ac:dyDescent="0.35">
      <c r="B11" s="4">
        <v>44012</v>
      </c>
      <c r="C11" s="86">
        <v>4.2500000000000003E-2</v>
      </c>
      <c r="D11" s="86">
        <v>5.0000000000000001E-3</v>
      </c>
      <c r="E11" s="86">
        <v>2.75E-2</v>
      </c>
      <c r="F11" s="86">
        <v>0.05</v>
      </c>
      <c r="G11" s="86">
        <v>2.5000000000000001E-3</v>
      </c>
      <c r="H11" s="86">
        <v>8.0000000000000004E-4</v>
      </c>
    </row>
    <row r="12" spans="2:8" x14ac:dyDescent="0.35">
      <c r="B12" s="4">
        <v>44043</v>
      </c>
      <c r="C12" s="86">
        <v>3.7499999999999999E-2</v>
      </c>
      <c r="D12" s="86">
        <v>5.0000000000000001E-3</v>
      </c>
      <c r="E12" s="86">
        <v>2.5000000000000001E-2</v>
      </c>
      <c r="F12" s="86">
        <v>0.05</v>
      </c>
      <c r="G12" s="86">
        <v>2.5000000000000001E-3</v>
      </c>
      <c r="H12" s="86">
        <v>8.9999999999999998E-4</v>
      </c>
    </row>
    <row r="13" spans="2:8" x14ac:dyDescent="0.35">
      <c r="B13" s="4">
        <v>44074</v>
      </c>
      <c r="C13" s="86">
        <v>0.03</v>
      </c>
      <c r="D13" s="86">
        <v>5.0000000000000001E-3</v>
      </c>
      <c r="E13" s="86">
        <v>2.2499999999999999E-2</v>
      </c>
      <c r="F13" s="86">
        <v>4.4999999999999998E-2</v>
      </c>
      <c r="G13" s="86">
        <v>2.5000000000000001E-3</v>
      </c>
      <c r="H13" s="86">
        <v>1E-3</v>
      </c>
    </row>
    <row r="14" spans="2:8" x14ac:dyDescent="0.35">
      <c r="B14" s="4">
        <v>44104</v>
      </c>
      <c r="C14" s="86">
        <v>2.2499999999999999E-2</v>
      </c>
      <c r="D14" s="86">
        <v>5.0000000000000001E-3</v>
      </c>
      <c r="E14" s="86">
        <v>1.7500000000000002E-2</v>
      </c>
      <c r="F14" s="86">
        <v>4.2500000000000003E-2</v>
      </c>
      <c r="G14" s="86">
        <v>2.5000000000000001E-3</v>
      </c>
      <c r="H14" s="86">
        <v>8.9999999999999998E-4</v>
      </c>
    </row>
    <row r="15" spans="2:8" x14ac:dyDescent="0.35">
      <c r="B15" s="4">
        <v>44135</v>
      </c>
      <c r="C15" s="86">
        <v>0.02</v>
      </c>
      <c r="D15" s="86">
        <v>5.0000000000000001E-3</v>
      </c>
      <c r="E15" s="86">
        <v>1.7500000000000002E-2</v>
      </c>
      <c r="F15" s="86">
        <v>4.2500000000000003E-2</v>
      </c>
      <c r="G15" s="86">
        <v>2.5000000000000001E-3</v>
      </c>
      <c r="H15" s="86">
        <v>8.9999999999999998E-4</v>
      </c>
    </row>
    <row r="16" spans="2:8" x14ac:dyDescent="0.35">
      <c r="B16" s="4">
        <v>44165</v>
      </c>
      <c r="C16" s="86">
        <v>0.02</v>
      </c>
      <c r="D16" s="86">
        <v>5.0000000000000001E-3</v>
      </c>
      <c r="E16" s="86">
        <v>1.7500000000000002E-2</v>
      </c>
      <c r="F16" s="86">
        <v>4.2500000000000003E-2</v>
      </c>
      <c r="G16" s="86">
        <v>2.5000000000000001E-3</v>
      </c>
      <c r="H16" s="86">
        <v>8.9999999999999998E-4</v>
      </c>
    </row>
    <row r="17" spans="2:8" x14ac:dyDescent="0.35">
      <c r="B17" s="4">
        <v>44196</v>
      </c>
      <c r="C17" s="86">
        <v>0.02</v>
      </c>
      <c r="D17" s="86">
        <v>5.0000000000000001E-3</v>
      </c>
      <c r="E17" s="86">
        <v>1.7500000000000002E-2</v>
      </c>
      <c r="F17" s="86">
        <v>4.2500000000000003E-2</v>
      </c>
      <c r="G17" s="86">
        <v>2.5000000000000001E-3</v>
      </c>
      <c r="H17" s="86">
        <v>8.9999999999999998E-4</v>
      </c>
    </row>
    <row r="18" spans="2:8" x14ac:dyDescent="0.35">
      <c r="B18" s="4">
        <v>44227</v>
      </c>
      <c r="C18" s="86">
        <v>0.02</v>
      </c>
      <c r="D18" s="86">
        <v>5.0000000000000001E-3</v>
      </c>
      <c r="E18" s="86">
        <v>1.7500000000000002E-2</v>
      </c>
      <c r="F18" s="86">
        <v>4.2500000000000003E-2</v>
      </c>
      <c r="G18" s="86">
        <v>2.5000000000000001E-3</v>
      </c>
      <c r="H18" s="86">
        <v>8.9999999999999998E-4</v>
      </c>
    </row>
    <row r="19" spans="2:8" x14ac:dyDescent="0.35">
      <c r="B19" s="4">
        <v>44255</v>
      </c>
      <c r="C19" s="86">
        <v>0.02</v>
      </c>
      <c r="D19" s="86">
        <v>5.0000000000000001E-3</v>
      </c>
      <c r="E19" s="86">
        <v>1.7500000000000002E-2</v>
      </c>
      <c r="F19" s="86">
        <v>0.04</v>
      </c>
      <c r="G19" s="86">
        <v>2.5000000000000001E-3</v>
      </c>
      <c r="H19" s="86">
        <v>8.0000000000000004E-4</v>
      </c>
    </row>
    <row r="20" spans="2:8" x14ac:dyDescent="0.35">
      <c r="B20" s="4">
        <v>44286</v>
      </c>
      <c r="C20" s="86">
        <v>0.02</v>
      </c>
      <c r="D20" s="86">
        <v>5.0000000000000001E-3</v>
      </c>
      <c r="E20" s="86">
        <v>1.7500000000000002E-2</v>
      </c>
      <c r="F20" s="86">
        <v>0.04</v>
      </c>
      <c r="G20" s="86">
        <v>2.5000000000000001E-3</v>
      </c>
      <c r="H20" s="86">
        <v>7.000000000000001E-4</v>
      </c>
    </row>
    <row r="21" spans="2:8" x14ac:dyDescent="0.35">
      <c r="B21" s="4">
        <v>44316</v>
      </c>
      <c r="C21" s="86">
        <v>0.02</v>
      </c>
      <c r="D21" s="86">
        <v>5.0000000000000001E-3</v>
      </c>
      <c r="E21" s="86">
        <v>1.7500000000000002E-2</v>
      </c>
      <c r="F21" s="86">
        <v>0.04</v>
      </c>
      <c r="G21" s="86">
        <v>2.5000000000000001E-3</v>
      </c>
      <c r="H21" s="86">
        <v>7.000000000000001E-4</v>
      </c>
    </row>
    <row r="22" spans="2:8" x14ac:dyDescent="0.35">
      <c r="B22" s="4">
        <v>44347</v>
      </c>
      <c r="C22" s="86">
        <v>0.02</v>
      </c>
      <c r="D22" s="86">
        <v>5.0000000000000001E-3</v>
      </c>
      <c r="E22" s="86">
        <v>1.7500000000000002E-2</v>
      </c>
      <c r="F22" s="86">
        <v>0.04</v>
      </c>
      <c r="G22" s="86">
        <v>2.5000000000000001E-3</v>
      </c>
      <c r="H22" s="86">
        <v>5.9999999999999995E-4</v>
      </c>
    </row>
    <row r="23" spans="2:8" x14ac:dyDescent="0.35">
      <c r="B23" s="4">
        <v>44377</v>
      </c>
      <c r="C23" s="86">
        <v>0.02</v>
      </c>
      <c r="D23" s="86">
        <v>5.0000000000000001E-3</v>
      </c>
      <c r="E23" s="86">
        <v>1.7500000000000002E-2</v>
      </c>
      <c r="F23" s="86">
        <v>4.2500000000000003E-2</v>
      </c>
      <c r="G23" s="86">
        <v>2.5000000000000001E-3</v>
      </c>
      <c r="H23" s="86">
        <v>8.0000000000000004E-4</v>
      </c>
    </row>
    <row r="24" spans="2:8" x14ac:dyDescent="0.35">
      <c r="B24" s="4">
        <v>44408</v>
      </c>
      <c r="C24" s="86">
        <v>2.75E-2</v>
      </c>
      <c r="D24" s="86">
        <v>5.0000000000000001E-3</v>
      </c>
      <c r="E24" s="86">
        <v>1.7500000000000002E-2</v>
      </c>
      <c r="F24" s="86">
        <v>4.2500000000000003E-2</v>
      </c>
      <c r="G24" s="86">
        <v>2.5000000000000001E-3</v>
      </c>
      <c r="H24" s="86">
        <v>1E-3</v>
      </c>
    </row>
    <row r="25" spans="2:8" x14ac:dyDescent="0.35">
      <c r="B25" s="4">
        <v>44439</v>
      </c>
      <c r="C25" s="86">
        <v>3.5000000000000003E-2</v>
      </c>
      <c r="D25" s="86">
        <v>7.4999999999999997E-3</v>
      </c>
      <c r="E25" s="86">
        <v>1.7500000000000002E-2</v>
      </c>
      <c r="F25" s="86">
        <v>4.4999999999999998E-2</v>
      </c>
      <c r="G25" s="86">
        <v>5.0000000000000001E-3</v>
      </c>
      <c r="H25" s="86">
        <v>8.9999999999999998E-4</v>
      </c>
    </row>
    <row r="26" spans="2:8" x14ac:dyDescent="0.35">
      <c r="B26" s="4">
        <v>44469</v>
      </c>
      <c r="C26" s="86">
        <v>4.2500000000000003E-2</v>
      </c>
      <c r="D26" s="86">
        <v>1.4999999999999999E-2</v>
      </c>
      <c r="E26" s="86">
        <v>1.7500000000000002E-2</v>
      </c>
      <c r="F26" s="86">
        <v>4.4999999999999998E-2</v>
      </c>
      <c r="G26" s="86">
        <v>0.01</v>
      </c>
      <c r="H26" s="86">
        <v>8.0000000000000004E-4</v>
      </c>
    </row>
    <row r="27" spans="2:8" x14ac:dyDescent="0.35">
      <c r="B27" s="4">
        <v>44500</v>
      </c>
      <c r="C27" s="86">
        <v>5.2499999999999998E-2</v>
      </c>
      <c r="D27" s="86">
        <v>1.4999999999999999E-2</v>
      </c>
      <c r="E27" s="86">
        <v>0.02</v>
      </c>
      <c r="F27" s="86">
        <v>4.7500000000000001E-2</v>
      </c>
      <c r="G27" s="86">
        <v>1.4999999999999999E-2</v>
      </c>
      <c r="H27" s="86">
        <v>8.0000000000000004E-4</v>
      </c>
    </row>
    <row r="28" spans="2:8" x14ac:dyDescent="0.35">
      <c r="B28" s="4">
        <v>44530</v>
      </c>
      <c r="C28" s="86">
        <v>6.25E-2</v>
      </c>
      <c r="D28" s="86">
        <v>2.75E-2</v>
      </c>
      <c r="E28" s="86">
        <v>2.5000000000000001E-2</v>
      </c>
      <c r="F28" s="86">
        <v>0.05</v>
      </c>
      <c r="G28" s="86">
        <v>0.02</v>
      </c>
      <c r="H28" s="86">
        <v>8.0000000000000004E-4</v>
      </c>
    </row>
    <row r="29" spans="2:8" x14ac:dyDescent="0.35">
      <c r="B29" s="4">
        <v>44561</v>
      </c>
      <c r="C29" s="86">
        <v>7.7499999999999999E-2</v>
      </c>
      <c r="D29" s="86">
        <v>2.75E-2</v>
      </c>
      <c r="E29" s="86">
        <v>0.03</v>
      </c>
      <c r="F29" s="86">
        <v>5.5E-2</v>
      </c>
      <c r="G29" s="86">
        <v>2.5000000000000001E-2</v>
      </c>
      <c r="H29" s="86">
        <v>8.0000000000000004E-4</v>
      </c>
    </row>
    <row r="30" spans="2:8" x14ac:dyDescent="0.35">
      <c r="B30" s="4">
        <v>44592</v>
      </c>
      <c r="C30" s="86">
        <v>9.2499999999999999E-2</v>
      </c>
      <c r="D30" s="86">
        <v>5.5E-2</v>
      </c>
      <c r="E30" s="86">
        <v>0.04</v>
      </c>
      <c r="F30" s="86">
        <v>5.5E-2</v>
      </c>
      <c r="G30" s="86">
        <v>0.03</v>
      </c>
      <c r="H30" s="86">
        <v>8.0000000000000004E-4</v>
      </c>
    </row>
    <row r="31" spans="2:8" x14ac:dyDescent="0.35">
      <c r="B31" s="4">
        <v>44620</v>
      </c>
      <c r="C31" s="86">
        <v>0.1075</v>
      </c>
      <c r="D31" s="86">
        <v>5.5E-2</v>
      </c>
      <c r="E31" s="86">
        <v>0.04</v>
      </c>
      <c r="F31" s="86">
        <v>0.06</v>
      </c>
      <c r="G31" s="86">
        <v>3.5000000000000003E-2</v>
      </c>
      <c r="H31" s="86">
        <v>8.0000000000000004E-4</v>
      </c>
    </row>
    <row r="32" spans="2:8" x14ac:dyDescent="0.35">
      <c r="B32" s="4">
        <v>44651</v>
      </c>
      <c r="C32" s="86">
        <v>0.11749999999999999</v>
      </c>
      <c r="D32" s="86">
        <v>7.0000000000000007E-2</v>
      </c>
      <c r="E32" s="86">
        <v>0.04</v>
      </c>
      <c r="F32" s="86">
        <v>6.5000000000000002E-2</v>
      </c>
      <c r="G32" s="86">
        <v>0.04</v>
      </c>
      <c r="H32" s="86">
        <v>2E-3</v>
      </c>
    </row>
    <row r="33" spans="2:8" x14ac:dyDescent="0.35">
      <c r="B33" s="4">
        <v>44681</v>
      </c>
      <c r="C33" s="86">
        <v>0.1275</v>
      </c>
      <c r="D33" s="86">
        <v>7.0000000000000007E-2</v>
      </c>
      <c r="E33" s="86">
        <v>0.05</v>
      </c>
      <c r="F33" s="86">
        <v>6.5000000000000002E-2</v>
      </c>
      <c r="G33" s="86">
        <v>4.4999999999999998E-2</v>
      </c>
      <c r="H33" s="86">
        <v>3.3E-3</v>
      </c>
    </row>
    <row r="34" spans="2:8" x14ac:dyDescent="0.35">
      <c r="B34" s="4">
        <v>44712</v>
      </c>
      <c r="C34" s="86">
        <v>0.1275</v>
      </c>
      <c r="D34" s="86">
        <v>8.2500000000000004E-2</v>
      </c>
      <c r="E34" s="86">
        <v>0.06</v>
      </c>
      <c r="F34" s="86">
        <v>7.0000000000000007E-2</v>
      </c>
      <c r="G34" s="86">
        <v>0.05</v>
      </c>
      <c r="H34" s="86">
        <v>7.7000000000000002E-3</v>
      </c>
    </row>
    <row r="35" spans="2:8" x14ac:dyDescent="0.35">
      <c r="B35" s="4">
        <v>44742</v>
      </c>
      <c r="C35" s="86">
        <v>0.1275</v>
      </c>
      <c r="D35" s="86">
        <v>0.09</v>
      </c>
      <c r="E35" s="86">
        <v>0.06</v>
      </c>
      <c r="F35" s="86">
        <v>7.7499999999999999E-2</v>
      </c>
      <c r="G35" s="86">
        <v>5.5E-2</v>
      </c>
      <c r="H35" s="86">
        <v>1.21E-2</v>
      </c>
    </row>
    <row r="36" spans="2:8" x14ac:dyDescent="0.35">
      <c r="B36" s="4">
        <v>44773</v>
      </c>
      <c r="C36" s="86">
        <v>0.1275</v>
      </c>
      <c r="D36" s="86">
        <v>0.09</v>
      </c>
      <c r="E36" s="86">
        <v>7.4999999999999997E-2</v>
      </c>
      <c r="F36" s="86">
        <v>7.7499999999999999E-2</v>
      </c>
      <c r="G36" s="86">
        <v>0.06</v>
      </c>
      <c r="H36" s="86">
        <v>1.6799999999999999E-2</v>
      </c>
    </row>
    <row r="37" spans="2:8" x14ac:dyDescent="0.35">
      <c r="B37" s="4">
        <v>44804</v>
      </c>
      <c r="C37" s="86">
        <v>0.1275</v>
      </c>
      <c r="D37" s="86">
        <v>9.7500000000000003E-2</v>
      </c>
      <c r="E37" s="86">
        <v>0.09</v>
      </c>
      <c r="F37" s="86">
        <v>8.5000000000000006E-2</v>
      </c>
      <c r="G37" s="86">
        <v>6.5000000000000002E-2</v>
      </c>
      <c r="H37" s="86">
        <v>2.3300000000000001E-2</v>
      </c>
    </row>
    <row r="38" spans="2:8" x14ac:dyDescent="0.35">
      <c r="B38" s="4">
        <v>44834</v>
      </c>
      <c r="C38" s="86">
        <v>0.13250000000000001</v>
      </c>
      <c r="D38" s="86">
        <v>0.1075</v>
      </c>
      <c r="E38" s="86">
        <v>0.1</v>
      </c>
      <c r="F38" s="86">
        <v>9.2499999999999999E-2</v>
      </c>
      <c r="G38" s="86">
        <v>6.7500000000000004E-2</v>
      </c>
      <c r="H38" s="86">
        <v>2.5600000000000001E-2</v>
      </c>
    </row>
    <row r="39" spans="2:8" x14ac:dyDescent="0.35">
      <c r="B39" s="4">
        <v>44865</v>
      </c>
      <c r="C39" s="86">
        <v>0.13750000000000001</v>
      </c>
      <c r="D39" s="86">
        <v>0.1075</v>
      </c>
      <c r="E39" s="86">
        <v>0.11</v>
      </c>
      <c r="F39" s="86">
        <v>9.2499999999999999E-2</v>
      </c>
      <c r="G39" s="86">
        <v>7.0000000000000007E-2</v>
      </c>
      <c r="H39" s="86">
        <v>3.0800000000000001E-2</v>
      </c>
    </row>
    <row r="40" spans="2:8" x14ac:dyDescent="0.35">
      <c r="B40" s="4">
        <v>44895</v>
      </c>
      <c r="C40" s="86">
        <v>0.13750000000000001</v>
      </c>
      <c r="D40" s="86">
        <v>0.1125</v>
      </c>
      <c r="E40" s="86">
        <v>0.11</v>
      </c>
      <c r="F40" s="86">
        <v>0.1</v>
      </c>
      <c r="G40" s="86">
        <v>7.2499999999999995E-2</v>
      </c>
      <c r="H40" s="86">
        <v>3.78E-2</v>
      </c>
    </row>
    <row r="41" spans="2:8" x14ac:dyDescent="0.35">
      <c r="B41" s="4">
        <v>44926</v>
      </c>
      <c r="C41" s="86">
        <v>0.13750000000000001</v>
      </c>
      <c r="D41" s="86">
        <v>0.1125</v>
      </c>
      <c r="E41" s="86">
        <v>0.12</v>
      </c>
      <c r="F41" s="86">
        <v>0.105</v>
      </c>
      <c r="G41" s="86">
        <v>7.4999999999999997E-2</v>
      </c>
      <c r="H41" s="86">
        <v>4.0999999999999995E-2</v>
      </c>
    </row>
    <row r="42" spans="2:8" x14ac:dyDescent="0.35">
      <c r="B42" s="4">
        <v>44957</v>
      </c>
      <c r="C42" s="86">
        <v>0.13750000000000001</v>
      </c>
      <c r="D42" s="86">
        <v>0.1125</v>
      </c>
      <c r="E42" s="86">
        <v>0.1275</v>
      </c>
      <c r="F42" s="86">
        <v>0.105</v>
      </c>
      <c r="G42" s="86">
        <v>7.7499999999999999E-2</v>
      </c>
      <c r="H42" s="86">
        <v>4.3299999999999998E-2</v>
      </c>
    </row>
    <row r="43" spans="2:8" x14ac:dyDescent="0.35">
      <c r="B43" s="4">
        <v>44985</v>
      </c>
      <c r="C43" s="86">
        <v>0.13750000000000001</v>
      </c>
      <c r="D43" s="86">
        <v>0.1125</v>
      </c>
      <c r="E43" s="86">
        <v>0.1275</v>
      </c>
      <c r="F43" s="86">
        <v>0.11</v>
      </c>
      <c r="G43" s="86">
        <v>7.7499999999999999E-2</v>
      </c>
      <c r="H43" s="86">
        <v>4.5700000000000005E-2</v>
      </c>
    </row>
    <row r="44" spans="2:8" x14ac:dyDescent="0.35">
      <c r="B44" s="4">
        <v>45016</v>
      </c>
      <c r="C44" s="86">
        <v>0.13750000000000001</v>
      </c>
      <c r="D44" s="86">
        <v>0.1125</v>
      </c>
      <c r="E44" s="86">
        <v>0.13</v>
      </c>
      <c r="F44" s="86">
        <v>0.1125</v>
      </c>
      <c r="G44" s="86">
        <v>7.7499999999999999E-2</v>
      </c>
      <c r="H44" s="86">
        <v>4.6500000000000007E-2</v>
      </c>
    </row>
    <row r="45" spans="2:8" x14ac:dyDescent="0.35">
      <c r="B45" s="4">
        <v>45046</v>
      </c>
      <c r="C45" s="86">
        <v>0.13750000000000001</v>
      </c>
      <c r="D45" s="86">
        <v>0.1125</v>
      </c>
      <c r="E45" s="86">
        <v>0.13</v>
      </c>
      <c r="F45" s="86">
        <v>0.1125</v>
      </c>
      <c r="G45" s="86">
        <v>7.7499999999999999E-2</v>
      </c>
      <c r="H45" s="86">
        <v>4.8300000000000003E-2</v>
      </c>
    </row>
    <row r="46" spans="2:8" x14ac:dyDescent="0.35">
      <c r="B46" s="4">
        <v>45077</v>
      </c>
      <c r="C46" s="86">
        <v>0.13750000000000001</v>
      </c>
      <c r="D46" s="86">
        <v>0.1125</v>
      </c>
      <c r="E46" s="86">
        <v>0.13250000000000001</v>
      </c>
      <c r="F46" s="86">
        <v>0.1125</v>
      </c>
      <c r="G46" s="86">
        <v>7.7499999999999999E-2</v>
      </c>
      <c r="H46" s="86">
        <v>5.0599999999999999E-2</v>
      </c>
    </row>
    <row r="47" spans="2:8" x14ac:dyDescent="0.35">
      <c r="B47" s="4">
        <v>45107</v>
      </c>
      <c r="C47" s="86">
        <v>0.13750000000000001</v>
      </c>
      <c r="D47" s="86">
        <v>0.1125</v>
      </c>
      <c r="E47" s="86">
        <v>0.13250000000000001</v>
      </c>
      <c r="F47" s="86">
        <v>0.1125</v>
      </c>
      <c r="G47" s="86">
        <v>7.7499999999999999E-2</v>
      </c>
      <c r="H47" s="86">
        <v>5.0799999999999998E-2</v>
      </c>
    </row>
    <row r="48" spans="2:8" x14ac:dyDescent="0.35">
      <c r="B48" s="4">
        <v>45138</v>
      </c>
      <c r="C48" s="86">
        <v>0.13750000000000001</v>
      </c>
      <c r="D48" s="86">
        <v>0.10249999999999999</v>
      </c>
      <c r="E48" s="86">
        <v>0.13250000000000001</v>
      </c>
      <c r="F48" s="86">
        <v>0.1125</v>
      </c>
      <c r="G48" s="86">
        <v>7.7499999999999999E-2</v>
      </c>
      <c r="H48" s="86">
        <v>5.1200000000000002E-2</v>
      </c>
    </row>
    <row r="49" spans="2:8" x14ac:dyDescent="0.35">
      <c r="B49" s="4">
        <v>45169</v>
      </c>
      <c r="C49" s="86">
        <v>0.13750000000000001</v>
      </c>
      <c r="D49" s="86">
        <v>0.10249999999999999</v>
      </c>
      <c r="E49" s="86">
        <v>0.13250000000000001</v>
      </c>
      <c r="F49" s="86">
        <v>0.1125</v>
      </c>
      <c r="G49" s="86">
        <v>7.7499999999999999E-2</v>
      </c>
      <c r="H49" s="86">
        <v>5.33E-2</v>
      </c>
    </row>
    <row r="50" spans="2:8" x14ac:dyDescent="0.35">
      <c r="B50" s="4">
        <v>45199</v>
      </c>
      <c r="C50" s="86">
        <v>0.13750000000000001</v>
      </c>
      <c r="D50" s="86">
        <v>0.10249999999999999</v>
      </c>
      <c r="E50" s="86">
        <v>0.13250000000000001</v>
      </c>
      <c r="F50" s="86">
        <v>0.1125</v>
      </c>
      <c r="G50" s="86">
        <v>7.4999999999999997E-2</v>
      </c>
      <c r="H50" s="86">
        <v>5.33E-2</v>
      </c>
    </row>
    <row r="51" spans="2:8" x14ac:dyDescent="0.35">
      <c r="B51" s="4">
        <v>45230</v>
      </c>
      <c r="C51" s="86">
        <v>0.13250000000000001</v>
      </c>
      <c r="D51" s="86">
        <v>0.09</v>
      </c>
      <c r="E51" s="86">
        <v>0.13250000000000001</v>
      </c>
      <c r="F51" s="86">
        <v>0.1125</v>
      </c>
      <c r="G51" s="86">
        <v>7.2499999999999995E-2</v>
      </c>
      <c r="H51" s="86">
        <v>5.33E-2</v>
      </c>
    </row>
    <row r="52" spans="2:8" x14ac:dyDescent="0.35">
      <c r="B52" s="4">
        <v>45260</v>
      </c>
      <c r="C52" s="86">
        <v>0.1275</v>
      </c>
      <c r="D52" s="86">
        <v>0.09</v>
      </c>
      <c r="E52" s="86">
        <v>0.13250000000000001</v>
      </c>
      <c r="F52" s="86">
        <v>0.1125</v>
      </c>
      <c r="G52" s="86">
        <v>7.0000000000000007E-2</v>
      </c>
      <c r="H52" s="86">
        <v>5.33E-2</v>
      </c>
    </row>
    <row r="53" spans="2:8" x14ac:dyDescent="0.35">
      <c r="B53" s="4">
        <v>45291</v>
      </c>
      <c r="C53" s="86">
        <v>0.1225</v>
      </c>
      <c r="D53" s="86">
        <v>0.09</v>
      </c>
      <c r="E53" s="86">
        <v>0.13</v>
      </c>
      <c r="F53" s="86">
        <v>0.1125</v>
      </c>
      <c r="G53" s="86">
        <v>6.7500000000000004E-2</v>
      </c>
      <c r="H53" s="86">
        <v>5.33E-2</v>
      </c>
    </row>
    <row r="54" spans="2:8" x14ac:dyDescent="0.35">
      <c r="B54" s="4">
        <v>45322</v>
      </c>
      <c r="C54" s="86">
        <v>0.11749999999999999</v>
      </c>
      <c r="D54" s="86">
        <v>8.2500000000000004E-2</v>
      </c>
      <c r="E54" s="86">
        <v>0.13</v>
      </c>
      <c r="F54" s="86">
        <v>0.1125</v>
      </c>
      <c r="G54" s="86">
        <v>6.5000000000000002E-2</v>
      </c>
      <c r="H54" s="86">
        <v>5.33E-2</v>
      </c>
    </row>
    <row r="55" spans="2:8" x14ac:dyDescent="0.35">
      <c r="B55" s="4">
        <v>45351</v>
      </c>
      <c r="C55" s="86">
        <v>0.1125</v>
      </c>
      <c r="D55" s="86">
        <v>7.2499999999999995E-2</v>
      </c>
      <c r="E55" s="86">
        <v>0.1275</v>
      </c>
      <c r="F55" s="86">
        <v>0.1125</v>
      </c>
      <c r="G55" s="86">
        <v>6.25E-2</v>
      </c>
      <c r="H55" s="86">
        <v>5.33E-2</v>
      </c>
    </row>
    <row r="56" spans="2:8" x14ac:dyDescent="0.35">
      <c r="B56" s="4">
        <v>45382</v>
      </c>
      <c r="C56" s="86">
        <v>0.1075</v>
      </c>
      <c r="D56" s="86">
        <v>7.2499999999999995E-2</v>
      </c>
      <c r="E56" s="86">
        <v>0.1225</v>
      </c>
      <c r="F56" s="86">
        <v>0.11</v>
      </c>
      <c r="G56" s="86">
        <v>6.25E-2</v>
      </c>
      <c r="H56" s="86">
        <v>5.33E-2</v>
      </c>
    </row>
    <row r="57" spans="2:8" x14ac:dyDescent="0.35">
      <c r="B57" s="4">
        <v>45412</v>
      </c>
      <c r="C57" s="86">
        <v>0.105</v>
      </c>
      <c r="D57" s="86">
        <v>6.5000000000000002E-2</v>
      </c>
      <c r="E57" s="86">
        <v>0.1225</v>
      </c>
      <c r="F57" s="86">
        <v>0.11</v>
      </c>
      <c r="G57" s="86">
        <v>0.06</v>
      </c>
      <c r="H57" s="86">
        <v>5.33E-2</v>
      </c>
    </row>
    <row r="58" spans="2:8" x14ac:dyDescent="0.35">
      <c r="B58" s="4">
        <v>45443</v>
      </c>
      <c r="C58" s="86">
        <v>0.105</v>
      </c>
      <c r="D58" s="86">
        <v>0.06</v>
      </c>
      <c r="E58" s="86">
        <v>0.11749999999999999</v>
      </c>
      <c r="F58" s="86">
        <v>0.11</v>
      </c>
      <c r="G58" s="86">
        <v>5.7500000000000002E-2</v>
      </c>
      <c r="H58" s="86">
        <v>5.33E-2</v>
      </c>
    </row>
    <row r="59" spans="2:8" x14ac:dyDescent="0.35">
      <c r="B59" s="4">
        <v>45473</v>
      </c>
      <c r="C59" s="86">
        <v>0.105</v>
      </c>
      <c r="D59" s="86">
        <v>0.06</v>
      </c>
      <c r="E59" s="86">
        <v>0.11749999999999999</v>
      </c>
      <c r="F59" s="86">
        <v>0.11</v>
      </c>
      <c r="G59" s="86">
        <v>5.7500000000000002E-2</v>
      </c>
      <c r="H59" s="86">
        <v>5.33E-2</v>
      </c>
    </row>
    <row r="60" spans="2:8" x14ac:dyDescent="0.35">
      <c r="B60" s="4">
        <v>45504</v>
      </c>
      <c r="C60" s="86">
        <v>0.105</v>
      </c>
      <c r="D60" s="86">
        <v>5.7500000000000002E-2</v>
      </c>
      <c r="E60" s="86">
        <v>0.1125</v>
      </c>
      <c r="F60" s="86">
        <v>0.11</v>
      </c>
      <c r="G60" s="86">
        <v>5.7500000000000002E-2</v>
      </c>
      <c r="H60" s="86">
        <v>5.33E-2</v>
      </c>
    </row>
    <row r="61" spans="2:8" x14ac:dyDescent="0.35">
      <c r="B61" s="4">
        <v>45535</v>
      </c>
      <c r="C61" s="86">
        <v>0.105</v>
      </c>
      <c r="D61" s="86">
        <v>5.7500000000000002E-2</v>
      </c>
      <c r="E61" s="86">
        <v>0.1075</v>
      </c>
      <c r="F61" s="86">
        <v>0.1075</v>
      </c>
      <c r="G61" s="86">
        <v>5.5E-2</v>
      </c>
      <c r="H61" s="86">
        <v>5.33E-2</v>
      </c>
    </row>
    <row r="62" spans="2:8" x14ac:dyDescent="0.35">
      <c r="B62" s="4">
        <v>45565</v>
      </c>
      <c r="C62" s="86">
        <v>0.105</v>
      </c>
      <c r="D62" s="86">
        <v>5.5E-2</v>
      </c>
      <c r="E62" s="86">
        <v>0.1075</v>
      </c>
      <c r="F62" s="86">
        <v>0.105</v>
      </c>
      <c r="G62" s="86">
        <v>5.2499999999999998E-2</v>
      </c>
      <c r="H62" s="86">
        <v>5.1299999999999998E-2</v>
      </c>
    </row>
    <row r="63" spans="2:8" x14ac:dyDescent="0.35">
      <c r="B63" s="4">
        <v>45596</v>
      </c>
      <c r="C63" s="86">
        <v>0.105</v>
      </c>
      <c r="D63" s="86">
        <v>5.5E-2</v>
      </c>
      <c r="E63" s="86">
        <v>0.10249999999999999</v>
      </c>
      <c r="F63" s="86">
        <v>0.105</v>
      </c>
      <c r="G63" s="86">
        <v>5.2499999999999998E-2</v>
      </c>
      <c r="H63" s="86">
        <v>4.8300000000000003E-2</v>
      </c>
    </row>
    <row r="64" spans="2:8" x14ac:dyDescent="0.35">
      <c r="B64" s="4">
        <v>45626</v>
      </c>
      <c r="C64" s="86">
        <v>0.1075</v>
      </c>
      <c r="D64" s="86">
        <v>5.5E-2</v>
      </c>
      <c r="E64" s="86">
        <v>9.7500000000000003E-2</v>
      </c>
      <c r="F64" s="86">
        <v>0.10249999999999999</v>
      </c>
      <c r="G64" s="86">
        <v>0.05</v>
      </c>
      <c r="H64" s="86">
        <v>4.6399999999999997E-2</v>
      </c>
    </row>
    <row r="65" spans="2:8" x14ac:dyDescent="0.35">
      <c r="B65" s="4">
        <v>45657</v>
      </c>
      <c r="C65" s="86">
        <v>0.1125</v>
      </c>
      <c r="D65" s="86">
        <v>5.5E-2</v>
      </c>
      <c r="E65" s="86">
        <v>9.5000000000000001E-2</v>
      </c>
      <c r="F65" s="86">
        <v>0.1</v>
      </c>
      <c r="G65" s="86">
        <v>0.05</v>
      </c>
      <c r="H65" s="86">
        <v>4.4800000000000006E-2</v>
      </c>
    </row>
    <row r="66" spans="2:8" x14ac:dyDescent="0.35">
      <c r="B66" s="4">
        <v>45688</v>
      </c>
      <c r="C66" s="86">
        <v>0.1225</v>
      </c>
      <c r="D66" s="86">
        <v>0.05</v>
      </c>
      <c r="E66" s="86">
        <v>9.5000000000000001E-2</v>
      </c>
      <c r="F66" s="86">
        <v>0.1</v>
      </c>
      <c r="G66" s="86">
        <v>4.7500000000000001E-2</v>
      </c>
      <c r="H66" s="86">
        <v>4.3299999999999998E-2</v>
      </c>
    </row>
    <row r="67" spans="2:8" x14ac:dyDescent="0.35">
      <c r="B67" s="4">
        <v>45716</v>
      </c>
      <c r="C67" s="86">
        <v>0.13250000000000001</v>
      </c>
      <c r="D67" s="86">
        <v>0.05</v>
      </c>
      <c r="E67" s="86">
        <v>9.5000000000000001E-2</v>
      </c>
      <c r="F67" s="86">
        <v>9.5000000000000001E-2</v>
      </c>
      <c r="G67" s="86">
        <v>4.7500000000000001E-2</v>
      </c>
      <c r="H67" s="86">
        <v>4.3299999999999998E-2</v>
      </c>
    </row>
    <row r="68" spans="2:8" x14ac:dyDescent="0.35">
      <c r="B68" s="4">
        <v>45747</v>
      </c>
      <c r="C68" s="86">
        <v>0.14249999999999999</v>
      </c>
      <c r="D68" s="86">
        <v>0.05</v>
      </c>
      <c r="E68" s="86">
        <v>9.5000000000000001E-2</v>
      </c>
      <c r="F68" s="86">
        <v>0.09</v>
      </c>
      <c r="G68" s="86">
        <v>4.7500000000000001E-2</v>
      </c>
      <c r="H68" s="86">
        <v>4.3299999999999998E-2</v>
      </c>
    </row>
    <row r="69" spans="2:8" x14ac:dyDescent="0.35">
      <c r="B69" s="4">
        <v>45777</v>
      </c>
      <c r="C69" s="86">
        <v>0.14749999999999999</v>
      </c>
      <c r="D69" s="86">
        <v>0.05</v>
      </c>
      <c r="E69" s="86">
        <v>9.5000000000000001E-2</v>
      </c>
      <c r="F69" s="86">
        <v>0.09</v>
      </c>
      <c r="G69" s="86">
        <v>4.7500000000000001E-2</v>
      </c>
      <c r="H69" s="94">
        <v>0.0433</v>
      </c>
    </row>
    <row r="70" spans="2:8" x14ac:dyDescent="0.35">
      <c r="B70" s="4">
        <v>45808</v>
      </c>
      <c r="C70" s="86">
        <v>0.14749999999999999</v>
      </c>
      <c r="D70" s="86">
        <v>0.05</v>
      </c>
      <c r="E70" s="86">
        <v>9.2499999999999999E-2</v>
      </c>
      <c r="F70" s="86">
        <v>8.5000000000000006E-2</v>
      </c>
      <c r="G70" s="86">
        <v>4.4999999999999998E-2</v>
      </c>
      <c r="H70" s="94">
        <v>0.0433</v>
      </c>
    </row>
    <row r="71" spans="2:8" x14ac:dyDescent="0.35">
      <c r="B71" s="4">
        <v>45838</v>
      </c>
      <c r="C71" s="86">
        <v>0.14749999999999999</v>
      </c>
      <c r="D71" s="86">
        <v>0.05</v>
      </c>
      <c r="E71" s="86">
        <v>9.2499999999999999E-2</v>
      </c>
      <c r="F71" s="86">
        <v>0.08</v>
      </c>
      <c r="G71" s="94">
        <v>0.045</v>
      </c>
      <c r="H71" s="94">
        <v>0.0433</v>
      </c>
    </row>
    <row r="72" spans="2:8" x14ac:dyDescent="0.35">
      <c r="B72" s="4">
        <v>45869</v>
      </c>
      <c r="C72" s="86">
        <v>0.14749999999999999</v>
      </c>
      <c r="D72" s="86">
        <v>4.7500000000000001E-2</v>
      </c>
      <c r="E72" s="86">
        <v>9.2499999999999999E-2</v>
      </c>
      <c r="F72" s="86">
        <v>0.08</v>
      </c>
      <c r="G72" s="94">
        <v>0.045</v>
      </c>
      <c r="H72" s="94">
        <v>0.0433</v>
      </c>
    </row>
    <row r="73" spans="2:8" x14ac:dyDescent="0.35">
      <c r="B73" s="4">
        <v>45900</v>
      </c>
      <c r="C73" s="86">
        <v>0.14749999999999999</v>
      </c>
      <c r="D73" s="86">
        <v>4.7500000000000001E-2</v>
      </c>
      <c r="E73" s="86">
        <v>9.2499999999999999E-2</v>
      </c>
      <c r="F73" s="86">
        <v>7.7499999999999999E-2</v>
      </c>
      <c r="G73" s="94">
        <v>0.045</v>
      </c>
      <c r="H73" s="94">
        <v>0.0433</v>
      </c>
    </row>
    <row r="74" spans="2:8" x14ac:dyDescent="0.35">
      <c r="B74" s="4">
        <v>45930</v>
      </c>
      <c r="C74" s="86">
        <v>0.15</v>
      </c>
      <c r="D74" s="86">
        <v>4.7500000000000001E-2</v>
      </c>
      <c r="E74" s="86">
        <v>9.2499999999999999E-2</v>
      </c>
      <c r="F74" s="86">
        <v>7.4999999999999997E-2</v>
      </c>
      <c r="G74" s="94">
        <v>0.0425</v>
      </c>
      <c r="H74" s="94">
        <v>0.0422</v>
      </c>
    </row>
    <row r="75" spans="2:8" x14ac:dyDescent="0.35">
      <c r="B75" s="4">
        <v>45961</v>
      </c>
      <c r="C75" s="86">
        <v>0.15</v>
      </c>
      <c r="D75" s="86">
        <v>4.7500000000000001E-2</v>
      </c>
      <c r="E75" s="86">
        <v>9.2499999999999999E-2</v>
      </c>
      <c r="F75" s="86">
        <v>7.4999999999999997E-2</v>
      </c>
      <c r="G75" s="94">
        <v>0.0425</v>
      </c>
      <c r="H75" s="94">
        <v>0.0409</v>
      </c>
    </row>
    <row r="76" spans="2:8" x14ac:dyDescent="0.35">
      <c r="B76" s="4">
        <v>45991</v>
      </c>
      <c r="C76" s="86">
        <v>0.15</v>
      </c>
      <c r="D76" s="86">
        <v>4.7500000000000001E-2</v>
      </c>
      <c r="E76" s="86">
        <v>9.2499999999999999E-2</v>
      </c>
      <c r="F76" s="86">
        <v>7.2499999999999995E-2</v>
      </c>
      <c r="G76" s="94">
        <v>0.0425</v>
      </c>
      <c r="H76" s="94">
        <v>0.0388</v>
      </c>
    </row>
    <row r="77" spans="2:8" x14ac:dyDescent="0.35">
      <c r="B77" s="4">
        <v>46022</v>
      </c>
      <c r="C77" s="86">
        <v>0.15</v>
      </c>
      <c r="D77" s="86">
        <v>4.7500000000000001E-2</v>
      </c>
      <c r="E77" s="86">
        <v>9.2499999999999999E-2</v>
      </c>
      <c r="F77" s="86">
        <v>7.0000000000000007E-2</v>
      </c>
      <c r="G77" s="94">
        <v>0.0425</v>
      </c>
      <c r="H77" s="94">
        <v>0.0372</v>
      </c>
    </row>
    <row r="78" spans="2:8" x14ac:dyDescent="0.35">
      <c r="B78" s="4">
        <v>46053</v>
      </c>
      <c r="C78" s="94">
        <v>0.15</v>
      </c>
      <c r="D78" s="94">
        <v>0.045</v>
      </c>
      <c r="E78" s="94">
        <v>0.0925</v>
      </c>
      <c r="F78" s="94">
        <v>0.07</v>
      </c>
      <c r="G78" s="94">
        <v>0.0425</v>
      </c>
      <c r="H78" s="94">
        <v>0.0364</v>
      </c>
    </row>
    <row r="79" spans="2:8" x14ac:dyDescent="0.35">
      <c r="B79" s="4">
        <v>46081</v>
      </c>
      <c r="C79" s="94">
        <v>0.15</v>
      </c>
      <c r="D79" s="94">
        <v>0.045</v>
      </c>
      <c r="E79" s="94">
        <v>0.1025</v>
      </c>
      <c r="F79" s="94">
        <v>0.07</v>
      </c>
      <c r="G79" s="94">
        <v>0.0425</v>
      </c>
      <c r="H79" s="94">
        <v>0.0364</v>
      </c>
    </row>
    <row r="80" spans="2:8" x14ac:dyDescent="0.35">
      <c r="B80" s="4">
        <v>46112</v>
      </c>
      <c r="C80" s="94">
        <v>0.1475</v>
      </c>
      <c r="D80" s="94">
        <v>0.045</v>
      </c>
      <c r="E80" s="94">
        <v>0.1025</v>
      </c>
      <c r="F80" s="94">
        <v>0.0675</v>
      </c>
      <c r="G80" s="94">
        <v>0.0425</v>
      </c>
      <c r="H80" s="94">
        <v>0.0364</v>
      </c>
    </row>
    <row r="81" spans="2:8" x14ac:dyDescent="0.35">
      <c r="B81" s="4">
        <v>46142</v>
      </c>
      <c r="C81" s="94">
        <v>0.145</v>
      </c>
      <c r="D81" s="94">
        <v>0.045</v>
      </c>
      <c r="E81" s="94">
        <v>0.1125</v>
      </c>
      <c r="F81" s="94">
        <v>0.0675</v>
      </c>
      <c r="G81" s="94">
        <v>0.0425</v>
      </c>
      <c r="H81" s="94">
        <v>0.0364</v>
      </c>
    </row>
    <row r="82" x14ac:dyDescent="0.35">
      <c r="B82" s="4">
        <v>46173</v>
      </c>
      <c r="C82" s="94">
        <v>0.145</v>
      </c>
      <c r="D82" s="94">
        <v>0.045</v>
      </c>
      <c r="E82" s="94">
        <v>0.1125</v>
      </c>
      <c r="F82" s="94">
        <v>0.065</v>
      </c>
      <c r="G82" s="94">
        <v>0.0425</v>
      </c>
      <c r="H82" s="94">
        <v>0.0363</v>
      </c>
    </row>
    <row r="83" x14ac:dyDescent="0.35">
      <c r="B83" s="4">
        <v>46203</v>
      </c>
      <c r="C83" s="94">
        <v>0.1425</v>
      </c>
      <c r="D83" s="94">
        <v>0.045</v>
      </c>
      <c r="E83" s="94">
        <v>0.1125</v>
      </c>
      <c r="F83" s="94">
        <v>0.065</v>
      </c>
      <c r="G83" s="94">
        <v>0.0425</v>
      </c>
      <c r="H83" s="94">
        <v>0.0363</v>
      </c>
    </row>
    <row r="84" x14ac:dyDescent="0.35">
      <c r="B84" s="4">
        <v>46234</v>
      </c>
      <c r="C84" s="94">
        <v>0.1425</v>
      </c>
      <c r="D84" s="94">
        <v>0.045</v>
      </c>
      <c r="E84" s="94">
        <v>0.12</v>
      </c>
      <c r="F84" s="94">
        <v>0.065</v>
      </c>
      <c r="G84" s="94">
        <v>0.0425</v>
      </c>
      <c r="H84" s="94">
        <v>0.0363</v>
      </c>
    </row>
    <row r="85" x14ac:dyDescent="0.35">
      <c r="B85" s="4">
        <v>46265</v>
      </c>
      <c r="C85" s="94">
        <v>0.14</v>
      </c>
      <c r="D85" s="94">
        <v>0.045</v>
      </c>
      <c r="E85" s="94">
        <v>0.12</v>
      </c>
      <c r="F85" s="94">
        <v>0.065</v>
      </c>
      <c r="G85" s="94">
        <v>0.0425</v>
      </c>
      <c r="H85" s="94">
        <v>0.0363</v>
      </c>
    </row>
    <row r="86" x14ac:dyDescent="0.35">
      <c r="B86" s="4">
        <v>46295</v>
      </c>
      <c r="C86" s="94">
        <v>0.1375</v>
      </c>
      <c r="D86" s="94">
        <v>0.045</v>
      </c>
      <c r="E86" s="94">
        <v>0.12</v>
      </c>
      <c r="F86" s="94">
        <v>0.065</v>
      </c>
      <c r="G86" s="94">
        <v>0.0425</v>
      </c>
      <c r="H86" s="94">
        <v>0.0375</v>
      </c>
    </row>
    <row r="87" x14ac:dyDescent="0.35">
      <c r="B87" s="4">
        <v>46326</v>
      </c>
      <c r="G87" s="94">
        <v>0.0425</v>
      </c>
    </row>
    <row r="88" spans="2:8" x14ac:dyDescent="0.35">
      <c r="B88" s="4">
        <v>46356</v>
      </c>
    </row>
    <row r="89" spans="2:8" x14ac:dyDescent="0.35">
      <c r="B89" s="4">
        <v>46387</v>
      </c>
    </row>
    <row r="90" spans="2:8" x14ac:dyDescent="0.35">
      <c r="B90" s="4">
        <v>46418</v>
      </c>
    </row>
    <row r="91" spans="2:8" x14ac:dyDescent="0.35">
      <c r="B91" s="4">
        <v>46446</v>
      </c>
    </row>
    <row r="104" spans="2:4" x14ac:dyDescent="0.35">
      <c r="B104" s="85" t="s">
        <v>247</v>
      </c>
      <c r="D104" s="14" t="s">
        <v>248</v>
      </c>
    </row>
    <row r="105" spans="2:4" x14ac:dyDescent="0.35">
      <c r="B105" s="85" t="s">
        <v>249</v>
      </c>
      <c r="D105" s="14" t="s">
        <v>250</v>
      </c>
    </row>
    <row r="106" spans="2:4" x14ac:dyDescent="0.35">
      <c r="B106" s="85" t="s">
        <v>251</v>
      </c>
      <c r="D106" s="14" t="s">
        <v>252</v>
      </c>
    </row>
  </sheetData>
  <hyperlinks>
    <hyperlink ref="D104" r:id="rId1" display="https://fred.stlouisfed.org/series/fedfunds" xr:uid="{E528CC6D-A329-4ABC-B067-C51229A70BFC}"/>
    <hyperlink ref="D105" r:id="rId2" xr:uid="{4A91A781-6790-44C0-B3CA-757A89377307}"/>
    <hyperlink ref="D106" r:id="rId3" xr:uid="{E62F9C2C-543F-4119-ABA4-93C32500A912}"/>
  </hyperlinks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8A0D-D501-49AC-9279-0F34AFBA0771}">
  <dimension ref="B3:D66"/>
  <sheetViews>
    <sheetView workbookViewId="0">
      <selection activeCell="B68" sqref="B68"/>
    </sheetView>
  </sheetViews>
  <sheetFormatPr baseColWidth="10" defaultRowHeight="14.5" x14ac:dyDescent="0.35"/>
  <sheetData>
    <row r="3" spans="2:2" ht="17.5" x14ac:dyDescent="0.35">
      <c r="B3" s="13" t="s">
        <v>127</v>
      </c>
    </row>
    <row r="5" spans="2:2" x14ac:dyDescent="0.35">
      <c r="B5" s="17" t="s">
        <v>135</v>
      </c>
    </row>
    <row r="6" spans="2:2" x14ac:dyDescent="0.35">
      <c r="B6" s="14" t="s">
        <v>134</v>
      </c>
    </row>
    <row r="7" spans="2:2" x14ac:dyDescent="0.35">
      <c r="B7" s="14"/>
    </row>
    <row r="8" spans="2:2" x14ac:dyDescent="0.35">
      <c r="B8" s="17" t="s">
        <v>138</v>
      </c>
    </row>
    <row r="9" spans="2:2" x14ac:dyDescent="0.35">
      <c r="B9" s="14" t="s">
        <v>137</v>
      </c>
    </row>
    <row r="11" spans="2:2" x14ac:dyDescent="0.35">
      <c r="B11" s="17" t="s">
        <v>140</v>
      </c>
    </row>
    <row r="12" spans="2:2" x14ac:dyDescent="0.35">
      <c r="B12" s="14" t="s">
        <v>139</v>
      </c>
    </row>
    <row r="14" spans="2:2" ht="17.5" x14ac:dyDescent="0.35">
      <c r="B14" s="13" t="s">
        <v>128</v>
      </c>
    </row>
    <row r="16" spans="2:2" x14ac:dyDescent="0.35">
      <c r="B16" s="17" t="s">
        <v>142</v>
      </c>
    </row>
    <row r="17" spans="2:4" x14ac:dyDescent="0.35">
      <c r="B17" s="14" t="s">
        <v>141</v>
      </c>
    </row>
    <row r="19" spans="2:4" x14ac:dyDescent="0.35">
      <c r="B19" s="17" t="s">
        <v>145</v>
      </c>
      <c r="D19" t="s">
        <v>147</v>
      </c>
    </row>
    <row r="20" spans="2:4" x14ac:dyDescent="0.35">
      <c r="B20" s="14" t="s">
        <v>146</v>
      </c>
    </row>
    <row r="21" spans="2:4" x14ac:dyDescent="0.35">
      <c r="B21" s="14"/>
    </row>
    <row r="22" spans="2:4" x14ac:dyDescent="0.35">
      <c r="B22" s="17" t="s">
        <v>148</v>
      </c>
    </row>
    <row r="23" spans="2:4" x14ac:dyDescent="0.35">
      <c r="B23" s="14" t="s">
        <v>149</v>
      </c>
    </row>
    <row r="24" spans="2:4" x14ac:dyDescent="0.35">
      <c r="B24" s="14"/>
    </row>
    <row r="25" spans="2:4" x14ac:dyDescent="0.35">
      <c r="B25" s="17" t="s">
        <v>152</v>
      </c>
    </row>
    <row r="26" spans="2:4" x14ac:dyDescent="0.35">
      <c r="B26" s="14" t="s">
        <v>150</v>
      </c>
    </row>
    <row r="28" spans="2:4" ht="17.5" x14ac:dyDescent="0.35">
      <c r="B28" s="13" t="s">
        <v>129</v>
      </c>
    </row>
    <row r="30" spans="2:4" x14ac:dyDescent="0.35">
      <c r="B30" s="17" t="s">
        <v>155</v>
      </c>
    </row>
    <row r="31" spans="2:4" x14ac:dyDescent="0.35">
      <c r="B31" t="s">
        <v>151</v>
      </c>
    </row>
    <row r="33" spans="2:2" x14ac:dyDescent="0.35">
      <c r="B33" s="17" t="s">
        <v>154</v>
      </c>
    </row>
    <row r="34" spans="2:2" x14ac:dyDescent="0.35">
      <c r="B34" s="14" t="s">
        <v>153</v>
      </c>
    </row>
    <row r="36" spans="2:2" x14ac:dyDescent="0.35">
      <c r="B36" s="17" t="s">
        <v>157</v>
      </c>
    </row>
    <row r="37" spans="2:2" x14ac:dyDescent="0.35">
      <c r="B37" s="14" t="s">
        <v>156</v>
      </c>
    </row>
    <row r="39" spans="2:2" x14ac:dyDescent="0.35">
      <c r="B39" s="17" t="s">
        <v>159</v>
      </c>
    </row>
    <row r="40" spans="2:2" x14ac:dyDescent="0.35">
      <c r="B40" s="14" t="s">
        <v>158</v>
      </c>
    </row>
    <row r="42" spans="2:2" ht="17.5" x14ac:dyDescent="0.35">
      <c r="B42" s="13" t="s">
        <v>130</v>
      </c>
    </row>
    <row r="44" spans="2:2" x14ac:dyDescent="0.35">
      <c r="B44" s="17" t="s">
        <v>162</v>
      </c>
    </row>
    <row r="45" spans="2:2" x14ac:dyDescent="0.35">
      <c r="B45" s="14" t="s">
        <v>161</v>
      </c>
    </row>
    <row r="46" spans="2:2" x14ac:dyDescent="0.35">
      <c r="B46" s="14"/>
    </row>
    <row r="47" spans="2:2" x14ac:dyDescent="0.35">
      <c r="B47" s="17" t="s">
        <v>164</v>
      </c>
    </row>
    <row r="48" spans="2:2" x14ac:dyDescent="0.35">
      <c r="B48" s="14" t="s">
        <v>163</v>
      </c>
    </row>
    <row r="50" spans="2:2" x14ac:dyDescent="0.35">
      <c r="B50" s="17" t="s">
        <v>166</v>
      </c>
    </row>
    <row r="51" spans="2:2" x14ac:dyDescent="0.35">
      <c r="B51" s="14" t="s">
        <v>165</v>
      </c>
    </row>
    <row r="52" spans="2:2" x14ac:dyDescent="0.35">
      <c r="B52" s="14"/>
    </row>
    <row r="53" spans="2:2" ht="17.5" x14ac:dyDescent="0.35">
      <c r="B53" s="13" t="s">
        <v>131</v>
      </c>
    </row>
    <row r="55" spans="2:2" x14ac:dyDescent="0.35">
      <c r="B55" s="17" t="s">
        <v>168</v>
      </c>
    </row>
    <row r="56" spans="2:2" x14ac:dyDescent="0.35">
      <c r="B56" s="14" t="s">
        <v>167</v>
      </c>
    </row>
    <row r="58" spans="2:2" x14ac:dyDescent="0.35">
      <c r="B58" s="17" t="s">
        <v>169</v>
      </c>
    </row>
    <row r="59" spans="2:2" x14ac:dyDescent="0.35">
      <c r="B59" s="14" t="s">
        <v>170</v>
      </c>
    </row>
    <row r="61" spans="2:2" x14ac:dyDescent="0.35">
      <c r="B61" s="17" t="s">
        <v>172</v>
      </c>
    </row>
    <row r="62" spans="2:2" x14ac:dyDescent="0.35">
      <c r="B62" s="14" t="s">
        <v>171</v>
      </c>
    </row>
    <row r="64" spans="2:2" ht="17.5" x14ac:dyDescent="0.35">
      <c r="B64" s="13" t="s">
        <v>132</v>
      </c>
    </row>
    <row r="66" spans="2:2" x14ac:dyDescent="0.35">
      <c r="B66" s="14" t="s">
        <v>133</v>
      </c>
    </row>
  </sheetData>
  <hyperlinks>
    <hyperlink ref="B5" r:id="rId1" display="https://si3.bcentral.cl/estadisticas/Principal1/excel/CCNN/IMACEC/Excel/IMACEC.xlsx" xr:uid="{447E709D-81F5-4A90-AF93-1FCA8306861C}"/>
    <hyperlink ref="B8" r:id="rId2" display="https://www.dane.gov.co/index.php/estadisticas-por-tema/cuentas-nacionales/indicador-de-seguimiento-a-la-economia-ise" xr:uid="{485DE877-AF92-4596-97DC-4965067E9DF9}"/>
    <hyperlink ref="B11" r:id="rId3" display="https://www.inegi.org.mx/contenidos/programas/igae/2018/tabulados/ori/IGAE_2.xlsx" xr:uid="{0571A9E2-9640-4871-8F50-AEE268E553D1}"/>
    <hyperlink ref="B16" r:id="rId4" display="https://www.ibge.gov.br/estatisticas/economicas/comercio/9227-pesquisa-mensal-de-comercio.html" xr:uid="{A86B4586-ABED-43CF-8E61-3AFCBEE0A815}"/>
    <hyperlink ref="B19" r:id="rId5" display="https://www.ine.gob.cl/docs/default-source/actividad-mensual-del-comercio/cuadros-estadisticos/base-promedio-a%C3%B1o-2018-100/series-mensuales-desde-enero-de-2018-a-la-fecha.xlsx" xr:uid="{C4656952-BD3F-42DD-9C5D-2F6748CD971C}"/>
    <hyperlink ref="B22" r:id="rId6" display="https://www.dane.gov.co/index.php/estadisticas-por-tema/comercio-interno/encuesta-mensual-de-comercio-emc" xr:uid="{1E8AFF66-CF01-4B3F-94EE-550139BA84E3}"/>
    <hyperlink ref="B25" r:id="rId7" display="https://www.inegi.org.mx/app/tabulados/interactivos/?px=EMEC_NACIONAL_0&amp;bd=EMEC" xr:uid="{AF997808-477F-4001-8208-6EF46CDA7F0F}"/>
    <hyperlink ref="B30" r:id="rId8" display="https://www.portaldaindustria.com.br/estatisticas/icei-indice-de-confianca-do-empresario-industrial/" xr:uid="{3A44ABB1-1C64-4C72-9A35-351F97E17E65}"/>
    <hyperlink ref="B36" r:id="rId9" display="https://www.repository.fedesarrollo.org.co/handle/11445/37" xr:uid="{4769F9B5-B4FA-44AA-BBF0-1C7FF45ECEE8}"/>
    <hyperlink ref="B39" r:id="rId10" display="https://www.inegi.org.mx/app/tabulados/default.html?nc=100100061&amp;idrt=28&amp;opc=t" xr:uid="{35D07C08-57FD-4AF8-8362-FC526D7C2F8C}"/>
    <hyperlink ref="B44" r:id="rId11" display="https://si3.bcentral.cl/Siete/ES/Siete/Cuadro/CAP_EXP_ECO/MN_EXP_EC11/IPSOS_ICC_M/638427307428609836" xr:uid="{2A2C5983-576F-4963-9A13-366D86448A95}"/>
    <hyperlink ref="B47" r:id="rId12" display="https://www.repository.fedesarrollo.org.co/handle/11445/36" xr:uid="{3E0C4AD0-4850-42EA-9088-91FE36F89A78}"/>
    <hyperlink ref="B50" r:id="rId13" display="https://www.inegi.org.mx/contenidos/programas/enco/tabulados/enco_b_indicador_de_confianza_del_consumidor.xlsx" xr:uid="{F949E4E4-F555-47CA-AED3-FFAAC6D7A0CC}"/>
    <hyperlink ref="B55" r:id="rId14" display="https://si3.bcentral.cl/Siete/ES/Siete/Cuadro/CAP_PRECIOS/MN_CAP_PRECIOS/IPC_VAR_ANUAL_HIST_NEW" xr:uid="{C828E9F6-84B2-4483-AC8E-FC303A1BB785}"/>
    <hyperlink ref="B58" r:id="rId15" display="https://www.dane.gov.co/index.php/estadisticas-por-tema/precios-y-costos/indice-de-precios-al-consumidor-ipc" xr:uid="{E61F3578-E2F5-4DCE-8785-81AF2BFC4125}"/>
    <hyperlink ref="B61" r:id="rId16" display="https://www.inegi.org.mx/temas/inpc/" xr:uid="{242D5319-0349-4514-9F37-4402CCBD595B}"/>
    <hyperlink ref="B66" r:id="rId17" display="https://antad.net/" xr:uid="{1454E5E1-6278-4BC6-A504-E1C832C42D29}"/>
    <hyperlink ref="B6" r:id="rId18" xr:uid="{9221DB56-429B-48BF-844A-595DA3267AC6}"/>
    <hyperlink ref="B9" r:id="rId19" xr:uid="{F4E4A9E5-444E-47F0-84E6-956ED52279D8}"/>
    <hyperlink ref="B12" r:id="rId20" xr:uid="{35C836DF-EDED-4392-B389-0939CA334DFA}"/>
    <hyperlink ref="B17" r:id="rId21" xr:uid="{15E5814F-816A-4BED-B0DA-B6BA08FC53E9}"/>
    <hyperlink ref="B20" r:id="rId22" xr:uid="{CCAD2EC1-B82B-4A95-8EB0-6478C063FC5F}"/>
    <hyperlink ref="B23" r:id="rId23" xr:uid="{C3953856-68D4-43F5-83EB-BF76CCDDAA79}"/>
    <hyperlink ref="B26" r:id="rId24" xr:uid="{E24D0550-93DD-4277-956F-77B7CFD9FD78}"/>
    <hyperlink ref="B33" r:id="rId25" display="https://si3.bcentral.cl/siete/ES/Siete/Cuadro/CAP_BDP/MN_EXP_EC11/EXE_IMCE_TOTAL" xr:uid="{FA64DF33-3C18-4448-9E6D-16233961E8A9}"/>
    <hyperlink ref="B34" r:id="rId26" xr:uid="{8C3379FB-B412-45D8-8F8F-97E398CB4D12}"/>
    <hyperlink ref="B37" r:id="rId27" xr:uid="{0FA23EA9-4663-4A60-A9BC-62D4D9CD8B7E}"/>
    <hyperlink ref="B40" r:id="rId28" xr:uid="{4F6A7B32-ADDF-402E-A751-214393626193}"/>
    <hyperlink ref="B45" r:id="rId29" xr:uid="{8FF1FE5B-7DD0-4186-8ECC-75B3E614BE15}"/>
    <hyperlink ref="B48" r:id="rId30" xr:uid="{2D501FC7-1F90-4BAA-8BAF-85FEDD59F930}"/>
    <hyperlink ref="B51" r:id="rId31" xr:uid="{E5AE9FA2-F999-41AF-A899-E1C276D4FF5E}"/>
    <hyperlink ref="B56" r:id="rId32" xr:uid="{6FE3BB02-CD72-4119-B7DD-588478375B89}"/>
    <hyperlink ref="B59" r:id="rId33" xr:uid="{FF85BB76-CCFA-4BB2-A11A-5DA5B7F8D2EC}"/>
    <hyperlink ref="B62" r:id="rId34" xr:uid="{35FD0B65-940C-4C7D-B540-E3CF0E57051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D776-3F2D-4F03-89A8-C1A676842308}">
  <dimension ref="B3:U34"/>
  <sheetViews>
    <sheetView workbookViewId="0">
      <selection activeCell="L25" sqref="L25"/>
    </sheetView>
  </sheetViews>
  <sheetFormatPr baseColWidth="10" defaultRowHeight="14.5" x14ac:dyDescent="0.35"/>
  <sheetData>
    <row r="3" spans="2:11" x14ac:dyDescent="0.35">
      <c r="C3" s="32">
        <v>2020</v>
      </c>
      <c r="D3" s="32">
        <f>C3+1</f>
        <v>2021</v>
      </c>
      <c r="E3" s="32">
        <f t="shared" ref="E3:K3" si="0">D3+1</f>
        <v>2022</v>
      </c>
      <c r="F3" s="32">
        <f t="shared" si="0"/>
        <v>2023</v>
      </c>
      <c r="G3" s="32">
        <f t="shared" si="0"/>
        <v>2024</v>
      </c>
      <c r="H3" s="32">
        <f t="shared" si="0"/>
        <v>2025</v>
      </c>
      <c r="I3" s="33">
        <f t="shared" si="0"/>
        <v>2026</v>
      </c>
      <c r="J3" s="33">
        <f t="shared" si="0"/>
        <v>2027</v>
      </c>
      <c r="K3" s="33">
        <f t="shared" si="0"/>
        <v>2028</v>
      </c>
    </row>
    <row r="4" spans="2:11" x14ac:dyDescent="0.35">
      <c r="B4" t="s">
        <v>174</v>
      </c>
      <c r="C4" s="30">
        <v>-7.19</v>
      </c>
      <c r="D4" s="30">
        <v>10.8</v>
      </c>
      <c r="E4" s="30">
        <v>7.33</v>
      </c>
      <c r="F4" s="30">
        <v>0.84</v>
      </c>
      <c r="G4" s="30">
        <v>1.49</v>
      </c>
      <c r="H4" s="30">
        <v>2.64</v>
      </c>
      <c r="I4" s="30">
        <v>2.19</v>
      </c>
      <c r="J4" s="30">
        <v>2.4</v>
      </c>
      <c r="K4" s="30">
        <v>2.85</v>
      </c>
    </row>
    <row r="23" spans="2:21" x14ac:dyDescent="0.35">
      <c r="F23" s="41" t="s">
        <v>187</v>
      </c>
      <c r="G23" s="41"/>
      <c r="H23" s="41"/>
      <c r="I23" s="41"/>
      <c r="J23" s="41" t="s">
        <v>188</v>
      </c>
      <c r="K23" s="41"/>
      <c r="L23" s="41"/>
      <c r="M23" s="41"/>
      <c r="N23" s="41" t="s">
        <v>189</v>
      </c>
      <c r="O23" s="41"/>
      <c r="P23" s="41"/>
      <c r="Q23" s="41"/>
      <c r="R23" s="41" t="s">
        <v>190</v>
      </c>
      <c r="S23" s="41"/>
      <c r="T23" s="41"/>
      <c r="U23" s="41"/>
    </row>
    <row r="24" spans="2:21" x14ac:dyDescent="0.35">
      <c r="D24" t="s">
        <v>182</v>
      </c>
      <c r="E24" t="s">
        <v>183</v>
      </c>
      <c r="F24">
        <v>2024</v>
      </c>
      <c r="G24" t="s">
        <v>184</v>
      </c>
      <c r="H24" t="s">
        <v>185</v>
      </c>
      <c r="I24" t="s">
        <v>186</v>
      </c>
      <c r="J24">
        <v>2024</v>
      </c>
      <c r="K24" t="s">
        <v>184</v>
      </c>
      <c r="L24" t="s">
        <v>185</v>
      </c>
      <c r="M24" t="s">
        <v>186</v>
      </c>
      <c r="N24">
        <v>2024</v>
      </c>
      <c r="O24" t="s">
        <v>184</v>
      </c>
      <c r="P24" t="s">
        <v>185</v>
      </c>
      <c r="Q24" t="s">
        <v>186</v>
      </c>
      <c r="R24">
        <v>2024</v>
      </c>
      <c r="S24" t="s">
        <v>184</v>
      </c>
      <c r="T24" t="s">
        <v>185</v>
      </c>
      <c r="U24" t="s">
        <v>186</v>
      </c>
    </row>
    <row r="25" spans="2:21" x14ac:dyDescent="0.35">
      <c r="B25" t="s">
        <v>175</v>
      </c>
      <c r="D25" t="s">
        <v>176</v>
      </c>
      <c r="E25" t="s">
        <v>177</v>
      </c>
      <c r="F25">
        <v>-6.3</v>
      </c>
      <c r="G25">
        <v>-1.1000000000000001</v>
      </c>
      <c r="H25">
        <v>-0.8</v>
      </c>
      <c r="I25">
        <v>0.1</v>
      </c>
      <c r="J25">
        <v>5.2</v>
      </c>
      <c r="K25">
        <v>5.4</v>
      </c>
      <c r="L25">
        <v>5.0999999999999996</v>
      </c>
      <c r="M25">
        <v>5.2</v>
      </c>
      <c r="N25">
        <v>1.7</v>
      </c>
      <c r="O25">
        <v>-0.3</v>
      </c>
      <c r="P25">
        <v>0.1</v>
      </c>
      <c r="Q25">
        <v>0.2</v>
      </c>
      <c r="R25" s="35">
        <v>2.2000000000000002</v>
      </c>
      <c r="S25" s="35">
        <v>2</v>
      </c>
      <c r="T25" s="35">
        <v>2.1</v>
      </c>
      <c r="U25" s="35">
        <v>1.9</v>
      </c>
    </row>
    <row r="26" spans="2:21" x14ac:dyDescent="0.35">
      <c r="B26" t="s">
        <v>178</v>
      </c>
      <c r="D26" t="s">
        <v>179</v>
      </c>
      <c r="E26" t="s">
        <v>180</v>
      </c>
      <c r="F26">
        <v>15.9</v>
      </c>
      <c r="G26">
        <v>-3.1</v>
      </c>
      <c r="H26">
        <v>230</v>
      </c>
      <c r="I26">
        <v>6.8</v>
      </c>
      <c r="J26">
        <v>5.5</v>
      </c>
      <c r="K26">
        <v>4.9000000000000004</v>
      </c>
      <c r="L26">
        <v>3.7</v>
      </c>
      <c r="M26">
        <v>3.8</v>
      </c>
      <c r="N26">
        <v>0</v>
      </c>
      <c r="O26">
        <v>0.6</v>
      </c>
      <c r="P26">
        <v>0.5</v>
      </c>
      <c r="Q26">
        <v>1.3</v>
      </c>
      <c r="R26" s="35">
        <v>2.2999999999999998</v>
      </c>
      <c r="S26" s="35">
        <v>2.7</v>
      </c>
      <c r="T26" s="35">
        <v>3.1</v>
      </c>
      <c r="U26" s="35">
        <v>2.6</v>
      </c>
    </row>
    <row r="27" spans="2:21" x14ac:dyDescent="0.35">
      <c r="B27" t="s">
        <v>181</v>
      </c>
      <c r="D27" t="s">
        <v>179</v>
      </c>
      <c r="E27" t="s">
        <v>180</v>
      </c>
      <c r="F27">
        <v>16.2</v>
      </c>
      <c r="G27">
        <v>2.2000000000000002</v>
      </c>
      <c r="H27">
        <v>5.6</v>
      </c>
      <c r="I27">
        <v>6.9</v>
      </c>
      <c r="J27">
        <v>3</v>
      </c>
      <c r="K27">
        <v>2.7</v>
      </c>
      <c r="L27">
        <v>2.8</v>
      </c>
      <c r="M27">
        <v>2.8</v>
      </c>
      <c r="N27">
        <v>0.8</v>
      </c>
      <c r="O27">
        <v>0</v>
      </c>
      <c r="P27">
        <v>0.1</v>
      </c>
      <c r="Q27">
        <v>0</v>
      </c>
      <c r="R27" s="35">
        <v>2.1</v>
      </c>
      <c r="S27" s="35">
        <v>2.2999999999999998</v>
      </c>
      <c r="T27" s="35">
        <v>2.1</v>
      </c>
      <c r="U27" s="35">
        <v>2</v>
      </c>
    </row>
    <row r="28" spans="2:21" x14ac:dyDescent="0.35">
      <c r="B28" t="s">
        <v>191</v>
      </c>
      <c r="J28">
        <v>12.8</v>
      </c>
      <c r="K28">
        <v>16.8</v>
      </c>
      <c r="L28">
        <v>18.5</v>
      </c>
      <c r="M28">
        <v>20</v>
      </c>
      <c r="R28" s="35">
        <v>1.8</v>
      </c>
      <c r="S28" s="35">
        <v>4.3</v>
      </c>
      <c r="T28" s="35">
        <v>3.5</v>
      </c>
      <c r="U28" s="35">
        <v>3</v>
      </c>
    </row>
    <row r="30" spans="2:21" x14ac:dyDescent="0.35">
      <c r="J30">
        <f>AVERAGE(J25:J28)</f>
        <v>6.625</v>
      </c>
      <c r="K30">
        <f t="shared" ref="K30:M30" si="1">AVERAGE(K25:K28)</f>
        <v>7.45</v>
      </c>
      <c r="L30">
        <f t="shared" si="1"/>
        <v>7.5250000000000004</v>
      </c>
      <c r="M30">
        <f t="shared" si="1"/>
        <v>7.95</v>
      </c>
      <c r="R30">
        <f>AVERAGE(R25:R28)</f>
        <v>2.1</v>
      </c>
      <c r="S30">
        <f t="shared" ref="S30:U30" si="2">AVERAGE(S25:S28)</f>
        <v>2.8250000000000002</v>
      </c>
      <c r="T30">
        <f t="shared" si="2"/>
        <v>2.7</v>
      </c>
      <c r="U30">
        <f t="shared" si="2"/>
        <v>2.375</v>
      </c>
    </row>
    <row r="32" spans="2:21" x14ac:dyDescent="0.35">
      <c r="J32">
        <v>2024</v>
      </c>
      <c r="K32">
        <v>2025</v>
      </c>
      <c r="L32" s="36" t="s">
        <v>192</v>
      </c>
      <c r="M32" s="36" t="s">
        <v>193</v>
      </c>
    </row>
    <row r="33" spans="9:13" x14ac:dyDescent="0.35">
      <c r="I33" t="s">
        <v>203</v>
      </c>
      <c r="J33" s="34">
        <f>J30/100</f>
        <v>6.6250000000000003E-2</v>
      </c>
      <c r="K33" s="34">
        <f>K30/100</f>
        <v>7.4499999999999997E-2</v>
      </c>
      <c r="L33" s="34">
        <f>L30/100</f>
        <v>7.5249999999999997E-2</v>
      </c>
      <c r="M33" s="34">
        <f>M30/100</f>
        <v>7.9500000000000001E-2</v>
      </c>
    </row>
    <row r="34" spans="9:13" x14ac:dyDescent="0.35">
      <c r="I34" t="s">
        <v>204</v>
      </c>
      <c r="J34" s="35">
        <v>2.1</v>
      </c>
      <c r="K34" s="35">
        <v>2.8250000000000002</v>
      </c>
      <c r="L34" s="35">
        <v>2.7</v>
      </c>
      <c r="M34" s="35">
        <v>2.375</v>
      </c>
    </row>
  </sheetData>
  <mergeCells count="4">
    <mergeCell ref="F23:I23"/>
    <mergeCell ref="J23:M23"/>
    <mergeCell ref="N23:Q23"/>
    <mergeCell ref="R23:U23"/>
  </mergeCells>
  <pageMargins left="0.7" right="0.7" top="0.75" bottom="0.75" header="0.3" footer="0.3"/>
  <ignoredErrors>
    <ignoredError sqref="R30 J30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84BF-49A5-4355-9421-863A5B716839}">
  <dimension ref="B3:T36"/>
  <sheetViews>
    <sheetView workbookViewId="0">
      <selection activeCell="C4" sqref="C4"/>
    </sheetView>
  </sheetViews>
  <sheetFormatPr baseColWidth="10" defaultRowHeight="14.5" x14ac:dyDescent="0.35"/>
  <sheetData>
    <row r="3" spans="2:11" x14ac:dyDescent="0.35">
      <c r="C3" s="32">
        <v>2020</v>
      </c>
      <c r="D3" s="32">
        <f>C3+1</f>
        <v>2021</v>
      </c>
      <c r="E3" s="32">
        <f t="shared" ref="E3:K3" si="0">D3+1</f>
        <v>2022</v>
      </c>
      <c r="F3" s="32">
        <f t="shared" si="0"/>
        <v>2023</v>
      </c>
      <c r="G3" s="32">
        <f t="shared" si="0"/>
        <v>2024</v>
      </c>
      <c r="H3" s="32">
        <f t="shared" si="0"/>
        <v>2025</v>
      </c>
      <c r="I3" s="33">
        <f t="shared" si="0"/>
        <v>2026</v>
      </c>
      <c r="J3" s="33">
        <f t="shared" si="0"/>
        <v>2027</v>
      </c>
      <c r="K3" s="33">
        <f t="shared" si="0"/>
        <v>2028</v>
      </c>
    </row>
    <row r="4" spans="2:11" x14ac:dyDescent="0.35">
      <c r="B4" t="s">
        <v>174</v>
      </c>
      <c r="C4" s="30">
        <v>-8.56</v>
      </c>
      <c r="D4" s="30">
        <v>6.28</v>
      </c>
      <c r="E4" s="30">
        <v>3.71</v>
      </c>
      <c r="F4" s="30">
        <v>3.11</v>
      </c>
      <c r="G4" s="30">
        <v>1.1100000000000001</v>
      </c>
      <c r="H4" s="30">
        <v>0.79</v>
      </c>
      <c r="I4">
        <v>0.6</v>
      </c>
      <c r="J4">
        <v>1.3</v>
      </c>
      <c r="K4">
        <v>1.9</v>
      </c>
    </row>
    <row r="23" spans="2:20" x14ac:dyDescent="0.35">
      <c r="E23" s="41" t="s">
        <v>187</v>
      </c>
      <c r="F23" s="41"/>
      <c r="G23" s="41"/>
      <c r="H23" s="41"/>
      <c r="I23" s="41" t="s">
        <v>188</v>
      </c>
      <c r="J23" s="41"/>
      <c r="K23" s="41"/>
      <c r="L23" s="41"/>
      <c r="M23" s="41" t="s">
        <v>189</v>
      </c>
      <c r="N23" s="41"/>
      <c r="O23" s="41"/>
      <c r="P23" s="41"/>
      <c r="Q23" s="41" t="s">
        <v>190</v>
      </c>
      <c r="R23" s="41"/>
      <c r="S23" s="41"/>
      <c r="T23" s="41"/>
    </row>
    <row r="24" spans="2:20" x14ac:dyDescent="0.35">
      <c r="C24" t="s">
        <v>182</v>
      </c>
      <c r="D24" t="s">
        <v>183</v>
      </c>
      <c r="E24">
        <v>2024</v>
      </c>
      <c r="F24" t="s">
        <v>184</v>
      </c>
      <c r="G24" t="s">
        <v>185</v>
      </c>
      <c r="H24" t="s">
        <v>186</v>
      </c>
      <c r="I24">
        <v>2024</v>
      </c>
      <c r="J24" t="s">
        <v>184</v>
      </c>
      <c r="K24" t="s">
        <v>185</v>
      </c>
      <c r="L24" t="s">
        <v>186</v>
      </c>
      <c r="M24">
        <v>2024</v>
      </c>
      <c r="N24" t="s">
        <v>184</v>
      </c>
      <c r="O24" t="s">
        <v>185</v>
      </c>
      <c r="P24" t="s">
        <v>186</v>
      </c>
      <c r="Q24">
        <v>2024</v>
      </c>
      <c r="R24" t="s">
        <v>184</v>
      </c>
      <c r="S24" t="s">
        <v>185</v>
      </c>
      <c r="T24" t="s">
        <v>186</v>
      </c>
    </row>
    <row r="25" spans="2:20" x14ac:dyDescent="0.35">
      <c r="B25" t="s">
        <v>194</v>
      </c>
      <c r="C25" t="s">
        <v>195</v>
      </c>
      <c r="D25" t="s">
        <v>177</v>
      </c>
      <c r="E25">
        <v>9.6</v>
      </c>
      <c r="F25">
        <v>5</v>
      </c>
      <c r="G25">
        <v>5</v>
      </c>
      <c r="H25">
        <v>6.3</v>
      </c>
      <c r="I25">
        <v>17.5</v>
      </c>
      <c r="J25">
        <v>15.9</v>
      </c>
      <c r="K25">
        <v>16.3</v>
      </c>
      <c r="L25">
        <v>16.7</v>
      </c>
      <c r="M25">
        <v>-1</v>
      </c>
      <c r="N25">
        <v>0</v>
      </c>
      <c r="O25">
        <v>4.7</v>
      </c>
      <c r="P25">
        <v>6.1</v>
      </c>
      <c r="Q25" s="35">
        <v>1</v>
      </c>
      <c r="R25" s="35">
        <v>1.6</v>
      </c>
      <c r="S25" s="35">
        <v>1.3</v>
      </c>
      <c r="T25" s="35">
        <v>1.1000000000000001</v>
      </c>
    </row>
    <row r="26" spans="2:20" x14ac:dyDescent="0.35">
      <c r="B26" t="s">
        <v>196</v>
      </c>
      <c r="C26" t="s">
        <v>197</v>
      </c>
      <c r="D26" t="s">
        <v>177</v>
      </c>
      <c r="E26">
        <v>11.1</v>
      </c>
      <c r="F26">
        <v>8.4</v>
      </c>
      <c r="G26">
        <v>9.1</v>
      </c>
      <c r="H26">
        <v>11.4</v>
      </c>
      <c r="I26">
        <v>14.1</v>
      </c>
      <c r="J26">
        <v>14.2</v>
      </c>
      <c r="K26">
        <v>14.3</v>
      </c>
      <c r="L26">
        <v>14.2</v>
      </c>
      <c r="M26">
        <v>-3.3</v>
      </c>
      <c r="N26">
        <v>-0.3</v>
      </c>
      <c r="O26">
        <v>0.4</v>
      </c>
      <c r="P26">
        <v>-0.1</v>
      </c>
      <c r="Q26" s="35">
        <v>1.6</v>
      </c>
      <c r="R26" s="35">
        <v>1.6</v>
      </c>
      <c r="S26" s="35">
        <v>1.5</v>
      </c>
      <c r="T26" s="35">
        <v>1.4</v>
      </c>
    </row>
    <row r="27" spans="2:20" x14ac:dyDescent="0.35">
      <c r="B27" t="s">
        <v>198</v>
      </c>
      <c r="C27" t="s">
        <v>197</v>
      </c>
      <c r="D27" t="s">
        <v>177</v>
      </c>
      <c r="E27">
        <v>0</v>
      </c>
      <c r="F27">
        <v>0.9</v>
      </c>
      <c r="G27">
        <v>3.1</v>
      </c>
      <c r="H27">
        <v>3.9</v>
      </c>
      <c r="I27">
        <v>9.5</v>
      </c>
      <c r="J27">
        <v>9</v>
      </c>
      <c r="K27">
        <v>9.3000000000000007</v>
      </c>
      <c r="L27">
        <v>9.6</v>
      </c>
      <c r="M27">
        <v>1.9</v>
      </c>
      <c r="N27">
        <v>4.4000000000000004</v>
      </c>
      <c r="O27">
        <v>2</v>
      </c>
      <c r="P27">
        <v>1.8</v>
      </c>
      <c r="Q27" s="35">
        <v>0.8</v>
      </c>
      <c r="R27" s="35">
        <v>0.8</v>
      </c>
      <c r="S27" s="35">
        <v>0.7</v>
      </c>
      <c r="T27" s="35">
        <v>0.7</v>
      </c>
    </row>
    <row r="28" spans="2:20" x14ac:dyDescent="0.35">
      <c r="B28" t="s">
        <v>199</v>
      </c>
      <c r="C28" t="s">
        <v>200</v>
      </c>
      <c r="D28" t="s">
        <v>177</v>
      </c>
      <c r="E28">
        <v>9.6999999999999993</v>
      </c>
      <c r="F28">
        <v>8.8000000000000007</v>
      </c>
      <c r="G28">
        <v>7.2</v>
      </c>
      <c r="H28">
        <v>7.6</v>
      </c>
      <c r="I28">
        <v>10.3</v>
      </c>
      <c r="J28">
        <v>10.5</v>
      </c>
      <c r="K28">
        <v>10.5</v>
      </c>
      <c r="L28">
        <v>10.7</v>
      </c>
      <c r="M28">
        <v>-3.6</v>
      </c>
      <c r="N28">
        <v>-5.3</v>
      </c>
      <c r="O28">
        <v>-4.9000000000000004</v>
      </c>
      <c r="P28">
        <v>-0.3</v>
      </c>
      <c r="Q28" s="35">
        <v>3.2</v>
      </c>
      <c r="R28" s="35">
        <v>2.9</v>
      </c>
      <c r="S28" s="35">
        <v>2.6</v>
      </c>
      <c r="T28" s="35">
        <v>2.5</v>
      </c>
    </row>
    <row r="29" spans="2:20" x14ac:dyDescent="0.35">
      <c r="B29" t="s">
        <v>201</v>
      </c>
      <c r="C29" t="s">
        <v>197</v>
      </c>
      <c r="D29" t="s">
        <v>177</v>
      </c>
      <c r="E29">
        <v>7.1</v>
      </c>
      <c r="F29">
        <v>4.9000000000000004</v>
      </c>
      <c r="G29">
        <v>4.4000000000000004</v>
      </c>
      <c r="H29">
        <v>4.5</v>
      </c>
      <c r="I29">
        <v>8.4</v>
      </c>
      <c r="J29">
        <v>8.1</v>
      </c>
      <c r="K29">
        <v>8.1</v>
      </c>
      <c r="L29">
        <v>8.3000000000000007</v>
      </c>
      <c r="M29">
        <v>-0.4</v>
      </c>
      <c r="N29">
        <v>0.7</v>
      </c>
      <c r="O29">
        <v>1.4</v>
      </c>
      <c r="P29">
        <v>1.2</v>
      </c>
      <c r="Q29" s="35">
        <v>2.7</v>
      </c>
      <c r="R29" s="35">
        <v>2.7</v>
      </c>
      <c r="S29" s="35">
        <v>2.7</v>
      </c>
      <c r="T29" s="35">
        <v>2.2999999999999998</v>
      </c>
    </row>
    <row r="30" spans="2:20" x14ac:dyDescent="0.35">
      <c r="B30" t="s">
        <v>202</v>
      </c>
      <c r="C30" t="s">
        <v>197</v>
      </c>
      <c r="D30" t="s">
        <v>177</v>
      </c>
      <c r="E30">
        <v>1.7</v>
      </c>
      <c r="F30">
        <v>0.8</v>
      </c>
      <c r="G30">
        <v>4</v>
      </c>
      <c r="H30">
        <v>4.5</v>
      </c>
      <c r="I30">
        <v>7.1</v>
      </c>
      <c r="J30">
        <v>7</v>
      </c>
      <c r="K30">
        <v>7.2</v>
      </c>
      <c r="L30">
        <v>7.3</v>
      </c>
      <c r="M30">
        <v>-0.9</v>
      </c>
      <c r="N30">
        <v>3.6</v>
      </c>
      <c r="O30">
        <v>1.3</v>
      </c>
      <c r="P30">
        <v>1.3</v>
      </c>
      <c r="Q30" s="35">
        <v>2.2999999999999998</v>
      </c>
      <c r="R30" s="35">
        <v>1.8</v>
      </c>
      <c r="S30" s="35">
        <v>1.5</v>
      </c>
      <c r="T30" s="35">
        <v>1.2</v>
      </c>
    </row>
    <row r="32" spans="2:20" x14ac:dyDescent="0.35">
      <c r="I32" s="30">
        <f>AVERAGE(I25:I30)</f>
        <v>11.15</v>
      </c>
      <c r="J32" s="30">
        <f t="shared" ref="J32:L32" si="1">AVERAGE(J25:J30)</f>
        <v>10.783333333333333</v>
      </c>
      <c r="K32" s="30">
        <f t="shared" si="1"/>
        <v>10.950000000000001</v>
      </c>
      <c r="L32" s="30">
        <f t="shared" si="1"/>
        <v>11.133333333333333</v>
      </c>
      <c r="M32" s="30"/>
      <c r="N32" s="30"/>
      <c r="O32" s="30"/>
      <c r="P32" s="30"/>
      <c r="Q32" s="35">
        <f>AVERAGE(Q25:Q30)</f>
        <v>1.9333333333333336</v>
      </c>
      <c r="R32" s="35">
        <f t="shared" ref="R32:T32" si="2">AVERAGE(R25:R30)</f>
        <v>1.9000000000000004</v>
      </c>
      <c r="S32" s="35">
        <f t="shared" si="2"/>
        <v>1.7166666666666668</v>
      </c>
      <c r="T32" s="35">
        <f t="shared" si="2"/>
        <v>1.5333333333333332</v>
      </c>
    </row>
    <row r="34" spans="9:13" x14ac:dyDescent="0.35">
      <c r="J34">
        <v>2024</v>
      </c>
      <c r="K34">
        <v>2025</v>
      </c>
      <c r="L34" s="36" t="s">
        <v>192</v>
      </c>
      <c r="M34" s="36" t="s">
        <v>193</v>
      </c>
    </row>
    <row r="35" spans="9:13" x14ac:dyDescent="0.35">
      <c r="I35" t="s">
        <v>203</v>
      </c>
      <c r="J35" s="34">
        <f>I32/100</f>
        <v>0.1115</v>
      </c>
      <c r="K35" s="34">
        <f>J32/100</f>
        <v>0.10783333333333334</v>
      </c>
      <c r="L35" s="34">
        <f>K32/100</f>
        <v>0.10950000000000001</v>
      </c>
      <c r="M35" s="34">
        <f>L32/100</f>
        <v>0.11133333333333333</v>
      </c>
    </row>
    <row r="36" spans="9:13" x14ac:dyDescent="0.35">
      <c r="I36" t="s">
        <v>204</v>
      </c>
      <c r="J36" s="35">
        <f>Q32</f>
        <v>1.9333333333333336</v>
      </c>
      <c r="K36" s="35">
        <f t="shared" ref="K36:M36" si="3">R32</f>
        <v>1.9000000000000004</v>
      </c>
      <c r="L36" s="35">
        <f t="shared" si="3"/>
        <v>1.7166666666666668</v>
      </c>
      <c r="M36" s="35">
        <f t="shared" si="3"/>
        <v>1.5333333333333332</v>
      </c>
    </row>
  </sheetData>
  <mergeCells count="4">
    <mergeCell ref="E23:H23"/>
    <mergeCell ref="I23:L23"/>
    <mergeCell ref="M23:P23"/>
    <mergeCell ref="Q23:T2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D86B-86B4-4742-B752-DE2AE83AE5F2}">
  <dimension ref="B3:T36"/>
  <sheetViews>
    <sheetView workbookViewId="0">
      <selection activeCell="B30" sqref="B30"/>
    </sheetView>
  </sheetViews>
  <sheetFormatPr baseColWidth="10" defaultRowHeight="14.5" x14ac:dyDescent="0.35"/>
  <sheetData>
    <row r="3" spans="2:11" x14ac:dyDescent="0.35">
      <c r="C3" s="32">
        <v>2020</v>
      </c>
      <c r="D3" s="32">
        <f>C3+1</f>
        <v>2021</v>
      </c>
      <c r="E3" s="32">
        <f t="shared" ref="E3:K3" si="0">D3+1</f>
        <v>2022</v>
      </c>
      <c r="F3" s="32">
        <f t="shared" si="0"/>
        <v>2023</v>
      </c>
      <c r="G3" s="32">
        <f t="shared" si="0"/>
        <v>2024</v>
      </c>
      <c r="H3" s="32">
        <f t="shared" si="0"/>
        <v>2025</v>
      </c>
      <c r="I3" s="33">
        <f t="shared" si="0"/>
        <v>2026</v>
      </c>
      <c r="J3" s="33">
        <f t="shared" si="0"/>
        <v>2027</v>
      </c>
      <c r="K3" s="33">
        <f t="shared" si="0"/>
        <v>2028</v>
      </c>
    </row>
    <row r="4" spans="2:11" x14ac:dyDescent="0.35">
      <c r="B4" t="s">
        <v>174</v>
      </c>
      <c r="C4" s="30">
        <v>-6.1</v>
      </c>
      <c r="D4" s="30">
        <v>11.3</v>
      </c>
      <c r="E4" s="30">
        <v>2.08</v>
      </c>
      <c r="F4" s="30">
        <v>0.78</v>
      </c>
      <c r="G4" s="30">
        <v>2.59</v>
      </c>
      <c r="H4" s="30">
        <v>2.4</v>
      </c>
      <c r="I4" s="30">
        <v>2.16</v>
      </c>
      <c r="J4" s="30">
        <v>2.2999999999999998</v>
      </c>
      <c r="K4" s="30">
        <v>2.4</v>
      </c>
    </row>
    <row r="23" spans="2:20" x14ac:dyDescent="0.35">
      <c r="E23" s="41" t="s">
        <v>187</v>
      </c>
      <c r="F23" s="41"/>
      <c r="G23" s="41"/>
      <c r="H23" s="41"/>
      <c r="I23" s="41" t="s">
        <v>188</v>
      </c>
      <c r="J23" s="41"/>
      <c r="K23" s="41"/>
      <c r="L23" s="41"/>
      <c r="M23" s="41" t="s">
        <v>189</v>
      </c>
      <c r="N23" s="41"/>
      <c r="O23" s="41"/>
      <c r="P23" s="41"/>
      <c r="Q23" s="41" t="s">
        <v>190</v>
      </c>
      <c r="R23" s="41"/>
      <c r="S23" s="41"/>
      <c r="T23" s="41"/>
    </row>
    <row r="24" spans="2:20" x14ac:dyDescent="0.35">
      <c r="C24" t="s">
        <v>182</v>
      </c>
      <c r="D24" t="s">
        <v>183</v>
      </c>
      <c r="E24">
        <v>2024</v>
      </c>
      <c r="F24" t="s">
        <v>184</v>
      </c>
      <c r="G24" t="s">
        <v>185</v>
      </c>
      <c r="H24" t="s">
        <v>186</v>
      </c>
      <c r="I24">
        <v>2024</v>
      </c>
      <c r="J24" t="s">
        <v>184</v>
      </c>
      <c r="K24" t="s">
        <v>185</v>
      </c>
      <c r="L24" t="s">
        <v>186</v>
      </c>
      <c r="M24">
        <v>2024</v>
      </c>
      <c r="N24" t="s">
        <v>184</v>
      </c>
      <c r="O24" t="s">
        <v>185</v>
      </c>
      <c r="P24" t="s">
        <v>186</v>
      </c>
      <c r="Q24">
        <v>2024</v>
      </c>
      <c r="R24" t="s">
        <v>184</v>
      </c>
      <c r="S24" t="s">
        <v>185</v>
      </c>
      <c r="T24" t="s">
        <v>186</v>
      </c>
    </row>
    <row r="25" spans="2:20" x14ac:dyDescent="0.35">
      <c r="B25" t="s">
        <v>205</v>
      </c>
      <c r="C25" t="s">
        <v>206</v>
      </c>
      <c r="D25" t="s">
        <v>177</v>
      </c>
      <c r="E25" t="s">
        <v>207</v>
      </c>
      <c r="F25" t="s">
        <v>208</v>
      </c>
      <c r="G25" t="s">
        <v>209</v>
      </c>
      <c r="H25" t="s">
        <v>210</v>
      </c>
      <c r="I25" t="s">
        <v>211</v>
      </c>
      <c r="J25" t="s">
        <v>212</v>
      </c>
      <c r="K25" t="s">
        <v>213</v>
      </c>
      <c r="L25" t="s">
        <v>214</v>
      </c>
      <c r="M25" t="s">
        <v>215</v>
      </c>
      <c r="N25" t="s">
        <v>216</v>
      </c>
      <c r="O25" t="s">
        <v>217</v>
      </c>
      <c r="P25" t="s">
        <v>218</v>
      </c>
      <c r="Q25" t="s">
        <v>219</v>
      </c>
      <c r="R25" t="s">
        <v>220</v>
      </c>
      <c r="S25" t="s">
        <v>221</v>
      </c>
      <c r="T25" t="s">
        <v>222</v>
      </c>
    </row>
    <row r="26" spans="2:20" x14ac:dyDescent="0.35">
      <c r="B26" t="s">
        <v>196</v>
      </c>
      <c r="C26" t="s">
        <v>197</v>
      </c>
      <c r="D26" t="s">
        <v>177</v>
      </c>
      <c r="E26">
        <v>11.1</v>
      </c>
      <c r="F26">
        <v>8.4</v>
      </c>
      <c r="G26">
        <v>9.1</v>
      </c>
      <c r="H26">
        <v>11.4</v>
      </c>
      <c r="I26">
        <v>14.1</v>
      </c>
      <c r="J26">
        <v>14.2</v>
      </c>
      <c r="K26">
        <v>14.3</v>
      </c>
      <c r="L26">
        <v>14.2</v>
      </c>
      <c r="M26">
        <v>-3.3</v>
      </c>
      <c r="N26">
        <v>-0.3</v>
      </c>
      <c r="O26">
        <v>0.4</v>
      </c>
      <c r="P26">
        <v>-0.1</v>
      </c>
      <c r="Q26" s="35">
        <v>1.6</v>
      </c>
      <c r="R26" s="35">
        <v>1.6</v>
      </c>
      <c r="S26" s="35">
        <v>1.5</v>
      </c>
      <c r="T26" s="35">
        <v>1.4</v>
      </c>
    </row>
    <row r="27" spans="2:20" x14ac:dyDescent="0.35">
      <c r="B27" t="s">
        <v>198</v>
      </c>
      <c r="C27" t="s">
        <v>197</v>
      </c>
      <c r="D27" t="s">
        <v>177</v>
      </c>
      <c r="E27">
        <v>0</v>
      </c>
      <c r="F27">
        <v>0.9</v>
      </c>
      <c r="G27">
        <v>3.1</v>
      </c>
      <c r="H27">
        <v>3.9</v>
      </c>
      <c r="I27">
        <v>9.5</v>
      </c>
      <c r="J27">
        <v>9</v>
      </c>
      <c r="K27">
        <v>9.3000000000000007</v>
      </c>
      <c r="L27">
        <v>9.6</v>
      </c>
      <c r="M27">
        <v>1.9</v>
      </c>
      <c r="N27">
        <v>4.4000000000000004</v>
      </c>
      <c r="O27">
        <v>2</v>
      </c>
      <c r="P27">
        <v>1.8</v>
      </c>
      <c r="Q27" s="35">
        <v>0.8</v>
      </c>
      <c r="R27" s="35">
        <v>0.8</v>
      </c>
      <c r="S27" s="35">
        <v>0.7</v>
      </c>
      <c r="T27" s="35">
        <v>0.7</v>
      </c>
    </row>
    <row r="28" spans="2:20" x14ac:dyDescent="0.35">
      <c r="B28" t="s">
        <v>199</v>
      </c>
      <c r="C28" t="s">
        <v>200</v>
      </c>
      <c r="D28" t="s">
        <v>177</v>
      </c>
      <c r="E28">
        <v>9.6999999999999993</v>
      </c>
      <c r="F28">
        <v>8.8000000000000007</v>
      </c>
      <c r="G28">
        <v>7.2</v>
      </c>
      <c r="H28">
        <v>7.6</v>
      </c>
      <c r="I28">
        <v>10.3</v>
      </c>
      <c r="J28">
        <v>10.5</v>
      </c>
      <c r="K28">
        <v>10.5</v>
      </c>
      <c r="L28">
        <v>10.7</v>
      </c>
      <c r="M28">
        <v>-3.6</v>
      </c>
      <c r="N28">
        <v>-5.3</v>
      </c>
      <c r="O28">
        <v>-4.9000000000000004</v>
      </c>
      <c r="P28">
        <v>-0.3</v>
      </c>
      <c r="Q28" s="35">
        <v>3.2</v>
      </c>
      <c r="R28" s="35">
        <v>2.9</v>
      </c>
      <c r="S28" s="35">
        <v>2.6</v>
      </c>
      <c r="T28" s="35">
        <v>2.5</v>
      </c>
    </row>
    <row r="29" spans="2:20" x14ac:dyDescent="0.35">
      <c r="B29" t="s">
        <v>201</v>
      </c>
      <c r="C29" t="s">
        <v>197</v>
      </c>
      <c r="D29" t="s">
        <v>177</v>
      </c>
      <c r="E29">
        <v>7.1</v>
      </c>
      <c r="F29">
        <v>4.9000000000000004</v>
      </c>
      <c r="G29">
        <v>4.4000000000000004</v>
      </c>
      <c r="H29">
        <v>4.5</v>
      </c>
      <c r="I29">
        <v>8.4</v>
      </c>
      <c r="J29">
        <v>8.1</v>
      </c>
      <c r="K29">
        <v>8.1</v>
      </c>
      <c r="L29">
        <v>8.3000000000000007</v>
      </c>
      <c r="M29">
        <v>-0.4</v>
      </c>
      <c r="N29">
        <v>0.7</v>
      </c>
      <c r="O29">
        <v>1.4</v>
      </c>
      <c r="P29">
        <v>1.2</v>
      </c>
      <c r="Q29" s="35">
        <v>2.7</v>
      </c>
      <c r="R29" s="35">
        <v>2.7</v>
      </c>
      <c r="S29" s="35">
        <v>2.7</v>
      </c>
      <c r="T29" s="35">
        <v>2.2999999999999998</v>
      </c>
    </row>
    <row r="30" spans="2:20" x14ac:dyDescent="0.35">
      <c r="B30" t="s">
        <v>202</v>
      </c>
      <c r="C30" t="s">
        <v>197</v>
      </c>
      <c r="D30" t="s">
        <v>177</v>
      </c>
      <c r="E30">
        <v>1.7</v>
      </c>
      <c r="F30">
        <v>0.8</v>
      </c>
      <c r="G30">
        <v>4</v>
      </c>
      <c r="H30">
        <v>4.5</v>
      </c>
      <c r="I30">
        <v>7.1</v>
      </c>
      <c r="J30">
        <v>7</v>
      </c>
      <c r="K30">
        <v>7.2</v>
      </c>
      <c r="L30">
        <v>7.3</v>
      </c>
      <c r="M30">
        <v>-0.9</v>
      </c>
      <c r="N30">
        <v>3.6</v>
      </c>
      <c r="O30">
        <v>1.3</v>
      </c>
      <c r="P30">
        <v>1.3</v>
      </c>
      <c r="Q30" s="35">
        <v>2.2999999999999998</v>
      </c>
      <c r="R30" s="35">
        <v>1.8</v>
      </c>
      <c r="S30" s="35">
        <v>1.5</v>
      </c>
      <c r="T30" s="35">
        <v>1.2</v>
      </c>
    </row>
    <row r="32" spans="2:20" x14ac:dyDescent="0.35">
      <c r="I32" s="30">
        <f>AVERAGE(I25:I30)</f>
        <v>9.8800000000000008</v>
      </c>
      <c r="J32" s="30">
        <f t="shared" ref="J32:L32" si="1">AVERAGE(J25:J30)</f>
        <v>9.7600000000000016</v>
      </c>
      <c r="K32" s="30">
        <f t="shared" si="1"/>
        <v>9.8800000000000008</v>
      </c>
      <c r="L32" s="30">
        <f t="shared" si="1"/>
        <v>10.02</v>
      </c>
      <c r="M32" s="30"/>
      <c r="N32" s="30"/>
      <c r="O32" s="30"/>
      <c r="P32" s="30"/>
      <c r="Q32" s="35">
        <f>AVERAGE(Q25:Q30)</f>
        <v>2.12</v>
      </c>
      <c r="R32" s="35">
        <f t="shared" ref="R32:T32" si="2">AVERAGE(R25:R30)</f>
        <v>1.9600000000000002</v>
      </c>
      <c r="S32" s="35">
        <f t="shared" si="2"/>
        <v>1.8</v>
      </c>
      <c r="T32" s="35">
        <f t="shared" si="2"/>
        <v>1.6199999999999999</v>
      </c>
    </row>
    <row r="34" spans="9:13" x14ac:dyDescent="0.35">
      <c r="J34">
        <v>2024</v>
      </c>
      <c r="K34">
        <v>2025</v>
      </c>
      <c r="L34" s="36" t="s">
        <v>192</v>
      </c>
      <c r="M34" s="36" t="s">
        <v>193</v>
      </c>
    </row>
    <row r="35" spans="9:13" x14ac:dyDescent="0.35">
      <c r="I35" t="s">
        <v>203</v>
      </c>
      <c r="J35" s="34">
        <f>I32/100</f>
        <v>9.8800000000000013E-2</v>
      </c>
      <c r="K35" s="34">
        <f>J32/100</f>
        <v>9.760000000000002E-2</v>
      </c>
      <c r="L35" s="34">
        <f>K32/100</f>
        <v>9.8800000000000013E-2</v>
      </c>
      <c r="M35" s="34">
        <f>L32/100</f>
        <v>0.1002</v>
      </c>
    </row>
    <row r="36" spans="9:13" x14ac:dyDescent="0.35">
      <c r="I36" t="s">
        <v>204</v>
      </c>
      <c r="J36" s="35">
        <f>Q32</f>
        <v>2.12</v>
      </c>
      <c r="K36" s="35">
        <f t="shared" ref="K36:M36" si="3">R32</f>
        <v>1.9600000000000002</v>
      </c>
      <c r="L36" s="35">
        <f t="shared" si="3"/>
        <v>1.8</v>
      </c>
      <c r="M36" s="35">
        <f t="shared" si="3"/>
        <v>1.6199999999999999</v>
      </c>
    </row>
  </sheetData>
  <mergeCells count="4">
    <mergeCell ref="E23:H23"/>
    <mergeCell ref="I23:L23"/>
    <mergeCell ref="M23:P23"/>
    <mergeCell ref="Q23:T2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5EF5-96AF-4E91-9FAC-5BD1F0EF9CB3}">
  <dimension ref="B3:T43"/>
  <sheetViews>
    <sheetView workbookViewId="0">
      <selection activeCell="E1" sqref="E1"/>
    </sheetView>
  </sheetViews>
  <sheetFormatPr baseColWidth="10" defaultRowHeight="14.5" x14ac:dyDescent="0.35"/>
  <sheetData>
    <row r="3" spans="2:11" x14ac:dyDescent="0.35">
      <c r="C3" s="32">
        <v>2020</v>
      </c>
      <c r="D3" s="32">
        <f>C3+1</f>
        <v>2021</v>
      </c>
      <c r="E3" s="32">
        <f t="shared" ref="E3:K3" si="0">D3+1</f>
        <v>2022</v>
      </c>
      <c r="F3" s="32">
        <f t="shared" si="0"/>
        <v>2023</v>
      </c>
      <c r="G3" s="32">
        <f t="shared" si="0"/>
        <v>2024</v>
      </c>
      <c r="H3" s="32">
        <f t="shared" si="0"/>
        <v>2025</v>
      </c>
      <c r="I3" s="33">
        <f t="shared" si="0"/>
        <v>2026</v>
      </c>
      <c r="J3" s="33">
        <f t="shared" si="0"/>
        <v>2027</v>
      </c>
      <c r="K3" s="33">
        <f t="shared" si="0"/>
        <v>2028</v>
      </c>
    </row>
    <row r="4" spans="2:11" x14ac:dyDescent="0.35">
      <c r="B4" t="s">
        <v>174</v>
      </c>
      <c r="C4" s="30">
        <v>-3.57</v>
      </c>
      <c r="D4" s="30">
        <v>5.0999999999999996</v>
      </c>
      <c r="E4" s="30">
        <v>3.12</v>
      </c>
      <c r="F4" s="30">
        <v>3.25</v>
      </c>
      <c r="G4" s="30">
        <v>2.98</v>
      </c>
      <c r="H4" s="30">
        <v>2.59</v>
      </c>
      <c r="I4" s="30">
        <v>1.64</v>
      </c>
      <c r="J4" s="30">
        <v>2.4500000000000002</v>
      </c>
      <c r="K4" s="30">
        <v>3.46</v>
      </c>
    </row>
    <row r="23" spans="2:20" x14ac:dyDescent="0.35">
      <c r="E23" s="41" t="s">
        <v>187</v>
      </c>
      <c r="F23" s="41"/>
      <c r="G23" s="41"/>
      <c r="H23" s="41"/>
      <c r="I23" s="41" t="s">
        <v>188</v>
      </c>
      <c r="J23" s="41"/>
      <c r="K23" s="41"/>
      <c r="L23" s="41"/>
      <c r="M23" s="41" t="s">
        <v>189</v>
      </c>
      <c r="N23" s="41"/>
      <c r="O23" s="41"/>
      <c r="P23" s="41"/>
      <c r="Q23" s="41" t="s">
        <v>190</v>
      </c>
      <c r="R23" s="41"/>
      <c r="S23" s="41"/>
      <c r="T23" s="41"/>
    </row>
    <row r="24" spans="2:20" x14ac:dyDescent="0.35">
      <c r="C24" t="s">
        <v>182</v>
      </c>
      <c r="D24" t="s">
        <v>183</v>
      </c>
      <c r="E24">
        <v>2024</v>
      </c>
      <c r="F24" t="s">
        <v>184</v>
      </c>
      <c r="G24" t="s">
        <v>185</v>
      </c>
      <c r="H24" t="s">
        <v>186</v>
      </c>
      <c r="I24">
        <v>2024</v>
      </c>
      <c r="J24" t="s">
        <v>184</v>
      </c>
      <c r="K24" t="s">
        <v>185</v>
      </c>
      <c r="L24" t="s">
        <v>186</v>
      </c>
      <c r="M24">
        <v>2024</v>
      </c>
      <c r="N24" t="s">
        <v>184</v>
      </c>
      <c r="O24" t="s">
        <v>185</v>
      </c>
      <c r="P24" t="s">
        <v>186</v>
      </c>
      <c r="Q24">
        <v>2024</v>
      </c>
      <c r="R24" t="s">
        <v>184</v>
      </c>
      <c r="S24" t="s">
        <v>185</v>
      </c>
      <c r="T24" t="s">
        <v>186</v>
      </c>
    </row>
    <row r="25" spans="2:20" x14ac:dyDescent="0.35">
      <c r="B25" t="s">
        <v>223</v>
      </c>
      <c r="C25" t="s">
        <v>224</v>
      </c>
      <c r="D25" t="s">
        <v>177</v>
      </c>
      <c r="E25">
        <v>28.8</v>
      </c>
      <c r="F25">
        <v>14</v>
      </c>
      <c r="G25">
        <v>11.1</v>
      </c>
      <c r="H25">
        <v>10.7</v>
      </c>
      <c r="I25">
        <v>21.4</v>
      </c>
      <c r="J25">
        <v>21.3</v>
      </c>
      <c r="K25">
        <v>20.399999999999999</v>
      </c>
      <c r="L25">
        <v>19.8</v>
      </c>
      <c r="M25">
        <v>1.1000000000000001</v>
      </c>
      <c r="N25">
        <v>8.6999999999999993</v>
      </c>
      <c r="O25">
        <v>7.5</v>
      </c>
      <c r="P25">
        <v>8.4</v>
      </c>
      <c r="Q25">
        <v>1.1000000000000001</v>
      </c>
      <c r="R25">
        <v>0.8</v>
      </c>
      <c r="S25">
        <v>0.8</v>
      </c>
      <c r="T25">
        <v>0.6</v>
      </c>
    </row>
    <row r="26" spans="2:20" x14ac:dyDescent="0.35">
      <c r="B26" t="s">
        <v>225</v>
      </c>
      <c r="C26" t="s">
        <v>224</v>
      </c>
      <c r="D26" t="s">
        <v>177</v>
      </c>
      <c r="E26">
        <v>17.8</v>
      </c>
      <c r="F26">
        <v>13.3</v>
      </c>
      <c r="G26">
        <v>12.1</v>
      </c>
      <c r="H26">
        <v>12.3</v>
      </c>
      <c r="I26">
        <v>29.2</v>
      </c>
      <c r="J26">
        <v>29.8</v>
      </c>
      <c r="K26">
        <v>29.9</v>
      </c>
      <c r="L26">
        <v>31</v>
      </c>
      <c r="M26">
        <v>-6</v>
      </c>
      <c r="N26">
        <v>-4.3</v>
      </c>
      <c r="O26">
        <v>0.7</v>
      </c>
      <c r="P26">
        <v>2.9</v>
      </c>
      <c r="Q26">
        <v>1.3</v>
      </c>
      <c r="R26">
        <v>1.4</v>
      </c>
      <c r="S26">
        <v>1.3</v>
      </c>
      <c r="T26">
        <v>1.2</v>
      </c>
    </row>
    <row r="27" spans="2:20" x14ac:dyDescent="0.35">
      <c r="B27" t="s">
        <v>226</v>
      </c>
      <c r="C27" t="s">
        <v>227</v>
      </c>
      <c r="D27" t="s">
        <v>228</v>
      </c>
      <c r="E27">
        <v>2.2999999999999998</v>
      </c>
      <c r="F27">
        <v>4.4000000000000004</v>
      </c>
      <c r="G27">
        <v>7.1</v>
      </c>
      <c r="H27">
        <v>9.4</v>
      </c>
      <c r="I27">
        <v>15.4</v>
      </c>
      <c r="J27">
        <v>15.4</v>
      </c>
      <c r="K27">
        <v>15.6</v>
      </c>
      <c r="L27">
        <v>15.5</v>
      </c>
      <c r="M27">
        <v>5.9</v>
      </c>
      <c r="N27">
        <v>0.1</v>
      </c>
      <c r="O27">
        <v>0.4</v>
      </c>
      <c r="P27">
        <v>0.5</v>
      </c>
      <c r="Q27">
        <v>2.5</v>
      </c>
      <c r="R27">
        <v>2.6</v>
      </c>
      <c r="S27">
        <v>2.2000000000000002</v>
      </c>
      <c r="T27">
        <v>2</v>
      </c>
    </row>
    <row r="28" spans="2:20" x14ac:dyDescent="0.35">
      <c r="B28" t="s">
        <v>229</v>
      </c>
      <c r="C28" t="s">
        <v>227</v>
      </c>
      <c r="D28" t="s">
        <v>228</v>
      </c>
      <c r="E28">
        <v>13.7</v>
      </c>
      <c r="F28">
        <v>11.1</v>
      </c>
      <c r="G28">
        <v>10.9</v>
      </c>
      <c r="H28">
        <v>10.6</v>
      </c>
      <c r="I28">
        <v>18.8</v>
      </c>
      <c r="J28">
        <v>19.3</v>
      </c>
      <c r="K28">
        <v>18.8</v>
      </c>
      <c r="L28">
        <v>19.100000000000001</v>
      </c>
      <c r="M28">
        <v>7.1</v>
      </c>
      <c r="N28">
        <v>5.5</v>
      </c>
      <c r="O28">
        <v>4.7</v>
      </c>
      <c r="P28">
        <v>4.7</v>
      </c>
      <c r="Q28">
        <v>2.7</v>
      </c>
      <c r="R28">
        <v>1.8</v>
      </c>
      <c r="S28">
        <v>1.8</v>
      </c>
      <c r="T28">
        <v>1.6</v>
      </c>
    </row>
    <row r="29" spans="2:20" x14ac:dyDescent="0.35">
      <c r="B29" t="s">
        <v>230</v>
      </c>
      <c r="C29" t="s">
        <v>227</v>
      </c>
      <c r="D29" t="s">
        <v>177</v>
      </c>
      <c r="E29">
        <v>12.9</v>
      </c>
      <c r="F29">
        <v>12.7</v>
      </c>
      <c r="G29">
        <v>10.5</v>
      </c>
      <c r="H29">
        <v>9.8000000000000007</v>
      </c>
      <c r="I29">
        <v>8.6999999999999993</v>
      </c>
      <c r="J29">
        <v>8.8000000000000007</v>
      </c>
      <c r="K29">
        <v>8.8000000000000007</v>
      </c>
      <c r="L29">
        <v>8.6999999999999993</v>
      </c>
      <c r="M29">
        <v>0.3</v>
      </c>
      <c r="N29">
        <v>-0.5</v>
      </c>
      <c r="O29">
        <v>0.2</v>
      </c>
      <c r="P29">
        <v>0.9</v>
      </c>
      <c r="Q29">
        <v>3.6</v>
      </c>
      <c r="R29">
        <v>3.3</v>
      </c>
      <c r="S29">
        <v>3.1</v>
      </c>
      <c r="T29">
        <v>2.8</v>
      </c>
    </row>
    <row r="30" spans="2:20" x14ac:dyDescent="0.35">
      <c r="B30" t="s">
        <v>231</v>
      </c>
      <c r="C30" t="s">
        <v>232</v>
      </c>
      <c r="D30" t="s">
        <v>177</v>
      </c>
      <c r="E30">
        <v>12</v>
      </c>
      <c r="F30">
        <v>11.8</v>
      </c>
      <c r="G30">
        <v>7.3</v>
      </c>
      <c r="H30">
        <v>7.2</v>
      </c>
      <c r="I30">
        <v>15.6</v>
      </c>
      <c r="J30">
        <v>17.2</v>
      </c>
      <c r="K30">
        <v>17.100000000000001</v>
      </c>
      <c r="L30">
        <v>17</v>
      </c>
      <c r="M30">
        <v>7.7</v>
      </c>
      <c r="N30">
        <v>6.1</v>
      </c>
      <c r="O30">
        <v>6.6</v>
      </c>
      <c r="P30">
        <v>5.3</v>
      </c>
      <c r="Q30">
        <v>4.4000000000000004</v>
      </c>
      <c r="R30">
        <v>3.1</v>
      </c>
      <c r="S30">
        <v>3</v>
      </c>
      <c r="T30">
        <v>2.7</v>
      </c>
    </row>
    <row r="31" spans="2:20" x14ac:dyDescent="0.35">
      <c r="B31" t="s">
        <v>233</v>
      </c>
      <c r="C31" t="s">
        <v>234</v>
      </c>
      <c r="D31" t="s">
        <v>228</v>
      </c>
      <c r="E31">
        <v>10.8</v>
      </c>
      <c r="F31">
        <v>34.700000000000003</v>
      </c>
      <c r="G31">
        <v>33.4</v>
      </c>
      <c r="H31">
        <v>21.1</v>
      </c>
      <c r="I31">
        <v>13.5</v>
      </c>
      <c r="J31">
        <v>11.9</v>
      </c>
      <c r="K31">
        <v>11.4</v>
      </c>
      <c r="L31">
        <v>11.5</v>
      </c>
      <c r="M31">
        <v>-14.2</v>
      </c>
      <c r="N31">
        <v>2.9</v>
      </c>
      <c r="O31">
        <v>-2.9</v>
      </c>
      <c r="P31">
        <v>-2.9</v>
      </c>
      <c r="Q31">
        <v>4.3</v>
      </c>
      <c r="R31">
        <v>3.5</v>
      </c>
      <c r="S31">
        <v>3</v>
      </c>
      <c r="T31">
        <v>2.9</v>
      </c>
    </row>
    <row r="32" spans="2:20" x14ac:dyDescent="0.35">
      <c r="B32" t="s">
        <v>235</v>
      </c>
      <c r="C32" t="s">
        <v>234</v>
      </c>
      <c r="D32" t="s">
        <v>177</v>
      </c>
      <c r="E32">
        <v>18.100000000000001</v>
      </c>
      <c r="F32">
        <v>27.2</v>
      </c>
      <c r="G32">
        <v>17</v>
      </c>
      <c r="H32">
        <v>14</v>
      </c>
      <c r="I32">
        <v>9.6</v>
      </c>
      <c r="J32">
        <v>8.9</v>
      </c>
      <c r="K32">
        <v>10</v>
      </c>
      <c r="L32">
        <v>10</v>
      </c>
      <c r="M32">
        <v>-7.1</v>
      </c>
      <c r="N32">
        <v>-1.1000000000000001</v>
      </c>
      <c r="O32">
        <v>0</v>
      </c>
      <c r="P32">
        <v>2</v>
      </c>
      <c r="Q32">
        <v>4.8</v>
      </c>
      <c r="R32">
        <v>4.8</v>
      </c>
      <c r="S32">
        <v>4</v>
      </c>
      <c r="T32">
        <v>4</v>
      </c>
    </row>
    <row r="33" spans="2:20" x14ac:dyDescent="0.35">
      <c r="B33" t="s">
        <v>236</v>
      </c>
      <c r="C33" t="s">
        <v>234</v>
      </c>
      <c r="D33" t="s">
        <v>177</v>
      </c>
      <c r="E33">
        <v>2.4</v>
      </c>
      <c r="F33">
        <v>5.6</v>
      </c>
      <c r="G33">
        <v>3.9</v>
      </c>
      <c r="H33">
        <v>3.7</v>
      </c>
      <c r="I33">
        <v>24</v>
      </c>
      <c r="J33">
        <v>24.8</v>
      </c>
      <c r="K33">
        <v>25</v>
      </c>
      <c r="L33">
        <v>25.1</v>
      </c>
      <c r="M33">
        <v>4.3</v>
      </c>
      <c r="N33">
        <v>2.2000000000000002</v>
      </c>
      <c r="O33">
        <v>4.4000000000000004</v>
      </c>
      <c r="P33">
        <v>5.0999999999999996</v>
      </c>
      <c r="Q33">
        <v>3.5</v>
      </c>
      <c r="R33">
        <v>3</v>
      </c>
      <c r="S33">
        <v>2.9</v>
      </c>
      <c r="T33">
        <v>2.4</v>
      </c>
    </row>
    <row r="34" spans="2:20" x14ac:dyDescent="0.35">
      <c r="B34" t="s">
        <v>237</v>
      </c>
      <c r="C34" t="s">
        <v>238</v>
      </c>
      <c r="D34" t="s">
        <v>228</v>
      </c>
      <c r="E34">
        <v>-0.8</v>
      </c>
      <c r="F34">
        <v>7.9</v>
      </c>
      <c r="G34">
        <v>11.3</v>
      </c>
      <c r="H34">
        <v>11.2</v>
      </c>
      <c r="I34">
        <v>25.5</v>
      </c>
      <c r="J34">
        <v>28.7</v>
      </c>
      <c r="K34">
        <v>30.2</v>
      </c>
      <c r="L34">
        <v>30.7</v>
      </c>
      <c r="M34">
        <v>-13.4</v>
      </c>
      <c r="N34">
        <v>0.3</v>
      </c>
      <c r="O34">
        <v>-1</v>
      </c>
      <c r="P34">
        <v>2.7</v>
      </c>
      <c r="Q34">
        <v>4.8</v>
      </c>
      <c r="R34">
        <v>3.7</v>
      </c>
      <c r="S34">
        <v>3.4</v>
      </c>
      <c r="T34">
        <v>2.9</v>
      </c>
    </row>
    <row r="35" spans="2:20" x14ac:dyDescent="0.35">
      <c r="B35" t="s">
        <v>239</v>
      </c>
      <c r="C35" t="s">
        <v>206</v>
      </c>
      <c r="D35" t="s">
        <v>177</v>
      </c>
      <c r="E35">
        <v>37.9</v>
      </c>
      <c r="F35">
        <v>29.1</v>
      </c>
      <c r="G35">
        <v>18.399999999999999</v>
      </c>
      <c r="H35">
        <v>21.4</v>
      </c>
      <c r="I35">
        <v>15.6</v>
      </c>
      <c r="J35">
        <v>13.9</v>
      </c>
      <c r="K35">
        <v>14.1</v>
      </c>
      <c r="L35">
        <v>14.6</v>
      </c>
      <c r="M35">
        <v>34</v>
      </c>
      <c r="N35">
        <v>27.9</v>
      </c>
      <c r="O35">
        <v>28.9</v>
      </c>
      <c r="P35">
        <v>27.5</v>
      </c>
      <c r="Q35">
        <v>1.8</v>
      </c>
      <c r="R35">
        <v>2.1</v>
      </c>
      <c r="S35">
        <v>2</v>
      </c>
      <c r="T35">
        <v>1.7</v>
      </c>
    </row>
    <row r="36" spans="2:20" x14ac:dyDescent="0.35">
      <c r="B36" t="s">
        <v>240</v>
      </c>
      <c r="C36" t="s">
        <v>224</v>
      </c>
      <c r="D36" t="s">
        <v>177</v>
      </c>
      <c r="E36">
        <v>19.8</v>
      </c>
      <c r="F36">
        <v>26.5</v>
      </c>
      <c r="G36">
        <v>24.9</v>
      </c>
      <c r="H36">
        <v>16.100000000000001</v>
      </c>
      <c r="I36">
        <v>7.8</v>
      </c>
      <c r="J36">
        <v>7.7</v>
      </c>
      <c r="K36">
        <v>7.6</v>
      </c>
      <c r="L36">
        <v>7.7</v>
      </c>
      <c r="M36">
        <v>-0.8</v>
      </c>
      <c r="N36">
        <v>-0.4</v>
      </c>
      <c r="O36">
        <v>-0.5</v>
      </c>
      <c r="P36">
        <v>0.8</v>
      </c>
      <c r="Q36">
        <v>1.9</v>
      </c>
      <c r="R36">
        <v>1.6</v>
      </c>
      <c r="S36">
        <v>1.5</v>
      </c>
      <c r="T36">
        <v>1.3</v>
      </c>
    </row>
    <row r="37" spans="2:20" x14ac:dyDescent="0.35">
      <c r="B37" t="s">
        <v>241</v>
      </c>
      <c r="C37" t="s">
        <v>224</v>
      </c>
      <c r="D37" t="s">
        <v>177</v>
      </c>
      <c r="E37">
        <v>11</v>
      </c>
      <c r="F37">
        <v>6</v>
      </c>
      <c r="G37">
        <v>7.6</v>
      </c>
      <c r="H37">
        <v>6.5</v>
      </c>
      <c r="I37">
        <v>7.4</v>
      </c>
      <c r="J37">
        <v>7.7</v>
      </c>
      <c r="K37">
        <v>7.8</v>
      </c>
      <c r="L37">
        <v>7.8</v>
      </c>
      <c r="M37">
        <v>-0.3</v>
      </c>
      <c r="N37">
        <v>1.2</v>
      </c>
      <c r="O37">
        <v>2.4</v>
      </c>
      <c r="P37">
        <v>2.2000000000000002</v>
      </c>
      <c r="Q37">
        <v>5</v>
      </c>
      <c r="R37">
        <v>4.3</v>
      </c>
      <c r="S37">
        <v>3.8</v>
      </c>
      <c r="T37">
        <v>3.4</v>
      </c>
    </row>
    <row r="39" spans="2:20" x14ac:dyDescent="0.35">
      <c r="I39" s="30">
        <f>AVERAGE(I25:I37)</f>
        <v>16.346153846153847</v>
      </c>
      <c r="J39" s="30">
        <f>AVERAGE(J25:J37)</f>
        <v>16.569230769230767</v>
      </c>
      <c r="K39" s="30">
        <f>AVERAGE(K25:K37)</f>
        <v>16.669230769230769</v>
      </c>
      <c r="L39" s="30">
        <f>AVERAGE(L25:L37)</f>
        <v>16.807692307692307</v>
      </c>
      <c r="M39" s="30"/>
      <c r="N39" s="30"/>
      <c r="O39" s="30"/>
      <c r="P39" s="30"/>
      <c r="Q39" s="35">
        <f>AVERAGE(Q25:Q37)</f>
        <v>3.2076923076923074</v>
      </c>
      <c r="R39" s="35">
        <f>AVERAGE(R25:R37)</f>
        <v>2.7692307692307692</v>
      </c>
      <c r="S39" s="35">
        <f>AVERAGE(S25:S37)</f>
        <v>2.523076923076923</v>
      </c>
      <c r="T39" s="35">
        <f>AVERAGE(T25:T37)</f>
        <v>2.2692307692307687</v>
      </c>
    </row>
    <row r="41" spans="2:20" x14ac:dyDescent="0.35">
      <c r="J41">
        <v>2024</v>
      </c>
      <c r="K41">
        <v>2025</v>
      </c>
      <c r="L41" s="36" t="s">
        <v>192</v>
      </c>
      <c r="M41" s="36" t="s">
        <v>193</v>
      </c>
    </row>
    <row r="42" spans="2:20" x14ac:dyDescent="0.35">
      <c r="I42" t="s">
        <v>203</v>
      </c>
      <c r="J42" s="34">
        <f>I39/100</f>
        <v>0.16346153846153846</v>
      </c>
      <c r="K42" s="34">
        <f>J39/100</f>
        <v>0.16569230769230767</v>
      </c>
      <c r="L42" s="34">
        <f>K39/100</f>
        <v>0.1666923076923077</v>
      </c>
      <c r="M42" s="34">
        <f>L39/100</f>
        <v>0.16807692307692307</v>
      </c>
    </row>
    <row r="43" spans="2:20" x14ac:dyDescent="0.35">
      <c r="I43" t="s">
        <v>204</v>
      </c>
      <c r="J43" s="35">
        <f>Q39</f>
        <v>3.2076923076923074</v>
      </c>
      <c r="K43" s="35">
        <f t="shared" ref="K43:M43" si="1">R39</f>
        <v>2.7692307692307692</v>
      </c>
      <c r="L43" s="35">
        <f t="shared" si="1"/>
        <v>2.523076923076923</v>
      </c>
      <c r="M43" s="35">
        <f t="shared" si="1"/>
        <v>2.2692307692307687</v>
      </c>
    </row>
  </sheetData>
  <mergeCells count="4">
    <mergeCell ref="E23:H23"/>
    <mergeCell ref="I23:L23"/>
    <mergeCell ref="M23:P23"/>
    <mergeCell ref="Q23:T23"/>
  </mergeCells>
  <pageMargins left="0.7" right="0.7" top="0.75" bottom="0.75" header="0.3" footer="0.3"/>
  <ignoredErrors>
    <ignoredError sqref="I39" formulaRange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3144-E090-42D6-A9A9-BE1344A02F1A}">
  <dimension ref="B3:T36"/>
  <sheetViews>
    <sheetView workbookViewId="0">
      <selection activeCell="D30" sqref="D30"/>
    </sheetView>
  </sheetViews>
  <sheetFormatPr baseColWidth="10" defaultRowHeight="14.5" x14ac:dyDescent="0.35"/>
  <sheetData>
    <row r="3" spans="2:11" x14ac:dyDescent="0.35">
      <c r="C3" s="32">
        <v>2020</v>
      </c>
      <c r="D3" s="32">
        <f>C3+1</f>
        <v>2021</v>
      </c>
      <c r="E3" s="32">
        <f t="shared" ref="E3:K3" si="0">D3+1</f>
        <v>2022</v>
      </c>
      <c r="F3" s="32">
        <f t="shared" si="0"/>
        <v>2023</v>
      </c>
      <c r="G3" s="32">
        <f t="shared" si="0"/>
        <v>2024</v>
      </c>
      <c r="H3" s="32">
        <f t="shared" si="0"/>
        <v>2025</v>
      </c>
      <c r="I3" s="33">
        <f t="shared" si="0"/>
        <v>2026</v>
      </c>
      <c r="J3" s="33">
        <f t="shared" si="0"/>
        <v>2027</v>
      </c>
      <c r="K3" s="33">
        <f t="shared" si="0"/>
        <v>2028</v>
      </c>
    </row>
    <row r="4" spans="2:11" x14ac:dyDescent="0.35">
      <c r="B4" t="s">
        <v>174</v>
      </c>
      <c r="C4" s="30">
        <v>-10.94</v>
      </c>
      <c r="D4" s="30">
        <v>13.42</v>
      </c>
      <c r="E4" s="30">
        <v>2.82</v>
      </c>
      <c r="F4" s="30">
        <v>-0.35</v>
      </c>
      <c r="G4" s="30">
        <v>3.51</v>
      </c>
      <c r="H4" s="30">
        <v>3.44</v>
      </c>
      <c r="I4" s="30">
        <v>2.79</v>
      </c>
      <c r="J4" s="30">
        <v>2.89</v>
      </c>
      <c r="K4" s="30">
        <v>2.87</v>
      </c>
    </row>
    <row r="23" spans="2:20" x14ac:dyDescent="0.35">
      <c r="E23" s="41" t="s">
        <v>187</v>
      </c>
      <c r="F23" s="41"/>
      <c r="G23" s="41"/>
      <c r="H23" s="41"/>
      <c r="I23" s="41" t="s">
        <v>188</v>
      </c>
      <c r="J23" s="41"/>
      <c r="K23" s="41"/>
      <c r="L23" s="41"/>
      <c r="M23" s="41" t="s">
        <v>189</v>
      </c>
      <c r="N23" s="41"/>
      <c r="O23" s="41"/>
      <c r="P23" s="41"/>
      <c r="Q23" s="41" t="s">
        <v>190</v>
      </c>
      <c r="R23" s="41"/>
      <c r="S23" s="41"/>
      <c r="T23" s="41"/>
    </row>
    <row r="24" spans="2:20" x14ac:dyDescent="0.35">
      <c r="C24" t="s">
        <v>182</v>
      </c>
      <c r="D24" t="s">
        <v>183</v>
      </c>
      <c r="E24">
        <v>2024</v>
      </c>
      <c r="F24" t="s">
        <v>184</v>
      </c>
      <c r="G24" t="s">
        <v>185</v>
      </c>
      <c r="H24" t="s">
        <v>186</v>
      </c>
      <c r="I24">
        <v>2024</v>
      </c>
      <c r="J24" t="s">
        <v>184</v>
      </c>
      <c r="K24" t="s">
        <v>185</v>
      </c>
      <c r="L24" t="s">
        <v>186</v>
      </c>
      <c r="M24">
        <v>2024</v>
      </c>
      <c r="N24" t="s">
        <v>184</v>
      </c>
      <c r="O24" t="s">
        <v>185</v>
      </c>
      <c r="P24" t="s">
        <v>186</v>
      </c>
      <c r="Q24">
        <v>2024</v>
      </c>
      <c r="R24" t="s">
        <v>184</v>
      </c>
      <c r="S24" t="s">
        <v>185</v>
      </c>
      <c r="T24" t="s">
        <v>186</v>
      </c>
    </row>
    <row r="25" spans="2:20" x14ac:dyDescent="0.35">
      <c r="B25" t="s">
        <v>205</v>
      </c>
      <c r="C25" t="s">
        <v>206</v>
      </c>
      <c r="D25" t="s">
        <v>177</v>
      </c>
      <c r="E25" t="s">
        <v>207</v>
      </c>
      <c r="F25" t="s">
        <v>208</v>
      </c>
      <c r="G25" t="s">
        <v>209</v>
      </c>
      <c r="H25" t="s">
        <v>210</v>
      </c>
      <c r="I25" t="s">
        <v>211</v>
      </c>
      <c r="J25" t="s">
        <v>212</v>
      </c>
      <c r="K25" t="s">
        <v>213</v>
      </c>
      <c r="L25" t="s">
        <v>214</v>
      </c>
      <c r="M25" t="s">
        <v>215</v>
      </c>
      <c r="N25" t="s">
        <v>216</v>
      </c>
      <c r="O25" t="s">
        <v>217</v>
      </c>
      <c r="P25" t="s">
        <v>218</v>
      </c>
      <c r="Q25" t="s">
        <v>219</v>
      </c>
      <c r="R25" t="s">
        <v>220</v>
      </c>
      <c r="S25" t="s">
        <v>221</v>
      </c>
      <c r="T25" t="s">
        <v>222</v>
      </c>
    </row>
    <row r="26" spans="2:20" x14ac:dyDescent="0.35">
      <c r="B26" t="s">
        <v>196</v>
      </c>
      <c r="C26" t="s">
        <v>197</v>
      </c>
      <c r="D26" t="s">
        <v>177</v>
      </c>
      <c r="E26">
        <v>11.1</v>
      </c>
      <c r="F26">
        <v>8.4</v>
      </c>
      <c r="G26">
        <v>9.1</v>
      </c>
      <c r="H26">
        <v>11.4</v>
      </c>
      <c r="I26">
        <v>14.1</v>
      </c>
      <c r="J26">
        <v>14.2</v>
      </c>
      <c r="K26">
        <v>14.3</v>
      </c>
      <c r="L26">
        <v>14.2</v>
      </c>
      <c r="M26">
        <v>-3.3</v>
      </c>
      <c r="N26">
        <v>-0.3</v>
      </c>
      <c r="O26">
        <v>0.4</v>
      </c>
      <c r="P26">
        <v>-0.1</v>
      </c>
      <c r="Q26" s="35">
        <v>1.6</v>
      </c>
      <c r="R26" s="35">
        <v>1.6</v>
      </c>
      <c r="S26" s="35">
        <v>1.5</v>
      </c>
      <c r="T26" s="35">
        <v>1.4</v>
      </c>
    </row>
    <row r="27" spans="2:20" x14ac:dyDescent="0.35">
      <c r="B27" t="s">
        <v>198</v>
      </c>
      <c r="C27" t="s">
        <v>197</v>
      </c>
      <c r="D27" t="s">
        <v>177</v>
      </c>
      <c r="E27">
        <v>0</v>
      </c>
      <c r="F27">
        <v>0.9</v>
      </c>
      <c r="G27">
        <v>3.1</v>
      </c>
      <c r="H27">
        <v>3.9</v>
      </c>
      <c r="I27">
        <v>9.5</v>
      </c>
      <c r="J27">
        <v>9</v>
      </c>
      <c r="K27">
        <v>9.3000000000000007</v>
      </c>
      <c r="L27">
        <v>9.6</v>
      </c>
      <c r="M27">
        <v>1.9</v>
      </c>
      <c r="N27">
        <v>4.4000000000000004</v>
      </c>
      <c r="O27">
        <v>2</v>
      </c>
      <c r="P27">
        <v>1.8</v>
      </c>
      <c r="Q27" s="35">
        <v>0.8</v>
      </c>
      <c r="R27" s="35">
        <v>0.8</v>
      </c>
      <c r="S27" s="35">
        <v>0.7</v>
      </c>
      <c r="T27" s="35">
        <v>0.7</v>
      </c>
    </row>
    <row r="28" spans="2:20" x14ac:dyDescent="0.35">
      <c r="B28" t="s">
        <v>199</v>
      </c>
      <c r="C28" t="s">
        <v>200</v>
      </c>
      <c r="D28" t="s">
        <v>177</v>
      </c>
      <c r="E28">
        <v>9.6999999999999993</v>
      </c>
      <c r="F28">
        <v>8.8000000000000007</v>
      </c>
      <c r="G28">
        <v>7.2</v>
      </c>
      <c r="H28">
        <v>7.6</v>
      </c>
      <c r="I28">
        <v>10.3</v>
      </c>
      <c r="J28">
        <v>10.5</v>
      </c>
      <c r="K28">
        <v>10.5</v>
      </c>
      <c r="L28">
        <v>10.7</v>
      </c>
      <c r="M28">
        <v>-3.6</v>
      </c>
      <c r="N28">
        <v>-5.3</v>
      </c>
      <c r="O28">
        <v>-4.9000000000000004</v>
      </c>
      <c r="P28">
        <v>-0.3</v>
      </c>
      <c r="Q28" s="35">
        <v>3.2</v>
      </c>
      <c r="R28" s="35">
        <v>2.9</v>
      </c>
      <c r="S28" s="35">
        <v>2.6</v>
      </c>
      <c r="T28" s="35">
        <v>2.5</v>
      </c>
    </row>
    <row r="29" spans="2:20" x14ac:dyDescent="0.35">
      <c r="B29" t="s">
        <v>201</v>
      </c>
      <c r="C29" t="s">
        <v>197</v>
      </c>
      <c r="D29" t="s">
        <v>177</v>
      </c>
      <c r="E29">
        <v>7.1</v>
      </c>
      <c r="F29">
        <v>4.9000000000000004</v>
      </c>
      <c r="G29">
        <v>4.4000000000000004</v>
      </c>
      <c r="H29">
        <v>4.5</v>
      </c>
      <c r="I29">
        <v>8.4</v>
      </c>
      <c r="J29">
        <v>8.1</v>
      </c>
      <c r="K29">
        <v>8.1</v>
      </c>
      <c r="L29">
        <v>8.3000000000000007</v>
      </c>
      <c r="M29">
        <v>-0.4</v>
      </c>
      <c r="N29">
        <v>0.7</v>
      </c>
      <c r="O29">
        <v>1.4</v>
      </c>
      <c r="P29">
        <v>1.2</v>
      </c>
      <c r="Q29" s="35">
        <v>2.7</v>
      </c>
      <c r="R29" s="35">
        <v>2.7</v>
      </c>
      <c r="S29" s="35">
        <v>2.7</v>
      </c>
      <c r="T29" s="35">
        <v>2.2999999999999998</v>
      </c>
    </row>
    <row r="30" spans="2:20" x14ac:dyDescent="0.35">
      <c r="B30" t="s">
        <v>202</v>
      </c>
      <c r="C30" t="s">
        <v>197</v>
      </c>
      <c r="D30" t="s">
        <v>177</v>
      </c>
      <c r="E30">
        <v>1.7</v>
      </c>
      <c r="F30">
        <v>0.8</v>
      </c>
      <c r="G30">
        <v>4</v>
      </c>
      <c r="H30">
        <v>4.5</v>
      </c>
      <c r="I30">
        <v>7.1</v>
      </c>
      <c r="J30">
        <v>7</v>
      </c>
      <c r="K30">
        <v>7.2</v>
      </c>
      <c r="L30">
        <v>7.3</v>
      </c>
      <c r="M30">
        <v>-0.9</v>
      </c>
      <c r="N30">
        <v>3.6</v>
      </c>
      <c r="O30">
        <v>1.3</v>
      </c>
      <c r="P30">
        <v>1.3</v>
      </c>
      <c r="Q30" s="35">
        <v>2.2999999999999998</v>
      </c>
      <c r="R30" s="35">
        <v>1.8</v>
      </c>
      <c r="S30" s="35">
        <v>1.5</v>
      </c>
      <c r="T30" s="35">
        <v>1.2</v>
      </c>
    </row>
    <row r="32" spans="2:20" x14ac:dyDescent="0.35">
      <c r="I32" s="30">
        <f>AVERAGE(I25:I30)</f>
        <v>9.8800000000000008</v>
      </c>
      <c r="J32" s="30">
        <f t="shared" ref="J32:L32" si="1">AVERAGE(J25:J30)</f>
        <v>9.7600000000000016</v>
      </c>
      <c r="K32" s="30">
        <f t="shared" si="1"/>
        <v>9.8800000000000008</v>
      </c>
      <c r="L32" s="30">
        <f t="shared" si="1"/>
        <v>10.02</v>
      </c>
      <c r="M32" s="30"/>
      <c r="N32" s="30"/>
      <c r="O32" s="30"/>
      <c r="P32" s="30"/>
      <c r="Q32" s="35">
        <f>AVERAGE(Q25:Q30)</f>
        <v>2.12</v>
      </c>
      <c r="R32" s="35">
        <f t="shared" ref="R32:T32" si="2">AVERAGE(R25:R30)</f>
        <v>1.9600000000000002</v>
      </c>
      <c r="S32" s="35">
        <f t="shared" si="2"/>
        <v>1.8</v>
      </c>
      <c r="T32" s="35">
        <f t="shared" si="2"/>
        <v>1.6199999999999999</v>
      </c>
    </row>
    <row r="34" spans="9:13" x14ac:dyDescent="0.35">
      <c r="J34">
        <v>2024</v>
      </c>
      <c r="K34">
        <v>2025</v>
      </c>
      <c r="L34" s="36" t="s">
        <v>192</v>
      </c>
      <c r="M34" s="36" t="s">
        <v>193</v>
      </c>
    </row>
    <row r="35" spans="9:13" x14ac:dyDescent="0.35">
      <c r="I35" t="s">
        <v>203</v>
      </c>
      <c r="J35" s="34">
        <f>I32/100</f>
        <v>9.8800000000000013E-2</v>
      </c>
      <c r="K35" s="34">
        <f>J32/100</f>
        <v>9.760000000000002E-2</v>
      </c>
      <c r="L35" s="34">
        <f>K32/100</f>
        <v>9.8800000000000013E-2</v>
      </c>
      <c r="M35" s="34">
        <f>L32/100</f>
        <v>0.1002</v>
      </c>
    </row>
    <row r="36" spans="9:13" x14ac:dyDescent="0.35">
      <c r="I36" t="s">
        <v>204</v>
      </c>
      <c r="J36" s="35">
        <f>Q32</f>
        <v>2.12</v>
      </c>
      <c r="K36" s="35">
        <f t="shared" ref="K36:M36" si="3">R32</f>
        <v>1.9600000000000002</v>
      </c>
      <c r="L36" s="35">
        <f t="shared" si="3"/>
        <v>1.8</v>
      </c>
      <c r="M36" s="35">
        <f t="shared" si="3"/>
        <v>1.6199999999999999</v>
      </c>
    </row>
  </sheetData>
  <mergeCells count="4">
    <mergeCell ref="E23:H23"/>
    <mergeCell ref="I23:L23"/>
    <mergeCell ref="M23:P23"/>
    <mergeCell ref="Q23:T2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4.5"/>
  <cols>
    <col min="1" max="1" width="2" customWidth="1"/>
    <col min="2" max="2" width="22" customWidth="1"/>
    <col min="3" max="3" width="11" customWidth="1"/>
    <col min="4" max="4" width="12" customWidth="1"/>
    <col min="5" max="5" width="12" customWidth="1"/>
    <col min="6" max="6" width="12" customWidth="1"/>
    <col min="7" max="7" width="12" customWidth="1"/>
    <col min="8" max="8" width="62" customWidth="1"/>
    <col min="9" max="9" width="18" customWidth="1"/>
    <col min="10" max="10" width="46" customWidth="1"/>
  </cols>
  <sheetData>
    <row r="2">
      <c r="B2" s="95" t="s">
        <v>260</v>
      </c>
    </row>
    <row r="3">
      <c r="B3" s="96" t="s">
        <v>261</v>
      </c>
    </row>
    <row r="5" ht="18" customHeight="1">
      <c r="B5" s="97" t="s">
        <v>60</v>
      </c>
      <c r="C5" s="97"/>
      <c r="D5" s="97"/>
      <c r="E5" s="97"/>
      <c r="F5" s="97"/>
      <c r="G5" s="97"/>
      <c r="H5" s="97"/>
      <c r="I5" s="97"/>
      <c r="J5" s="97"/>
    </row>
    <row r="6" ht="28" customHeight="1">
      <c r="B6" s="111" t="s">
        <v>262</v>
      </c>
      <c r="C6" s="111"/>
      <c r="D6" s="111"/>
      <c r="E6" s="111"/>
      <c r="F6" s="111"/>
      <c r="G6" s="111"/>
      <c r="H6" s="111"/>
      <c r="I6" s="111"/>
      <c r="J6" s="111"/>
    </row>
    <row r="7">
      <c r="B7" s="98" t="s">
        <v>263</v>
      </c>
      <c r="C7" s="98" t="s">
        <v>264</v>
      </c>
      <c r="D7" s="98" t="s">
        <v>265</v>
      </c>
      <c r="E7" s="98" t="s">
        <v>266</v>
      </c>
      <c r="F7" s="98" t="s">
        <v>267</v>
      </c>
      <c r="G7" s="98" t="s">
        <v>268</v>
      </c>
      <c r="H7" s="98" t="s">
        <v>269</v>
      </c>
    </row>
    <row r="8">
      <c r="B8" s="101" t="s">
        <v>270</v>
      </c>
      <c r="C8" s="99" t="s">
        <v>271</v>
      </c>
      <c r="D8" s="104">
        <v>0.01061552801</v>
      </c>
      <c r="E8" s="104">
        <v>0.02361572927</v>
      </c>
      <c r="F8" s="106">
        <v>-1.300020126</v>
      </c>
      <c r="G8" s="104">
        <v>0.015209186514</v>
      </c>
      <c r="H8" s="99" t="s">
        <v>272</v>
      </c>
    </row>
    <row r="9">
      <c r="B9" s="101" t="s">
        <v>88</v>
      </c>
      <c r="C9" s="99" t="s">
        <v>273</v>
      </c>
      <c r="D9" s="104">
        <v>0.004</v>
      </c>
      <c r="E9" s="104">
        <v>0.013</v>
      </c>
      <c r="F9" s="106">
        <v>-0.8999999999999999</v>
      </c>
      <c r="G9" s="104">
        <v>0.003</v>
      </c>
      <c r="H9" s="99" t="s">
        <v>274</v>
      </c>
    </row>
    <row r="10">
      <c r="B10" s="101" t="s">
        <v>275</v>
      </c>
      <c r="C10" s="99" t="s">
        <v>276</v>
      </c>
      <c r="D10" s="105">
        <v>46.2</v>
      </c>
      <c r="E10" s="105">
        <v>44.9</v>
      </c>
      <c r="F10" s="107">
        <v>1.3000000000000043</v>
      </c>
      <c r="G10" s="105">
        <v>47.2</v>
      </c>
      <c r="H10" s="99" t="s">
        <v>277</v>
      </c>
    </row>
    <row r="11">
      <c r="B11" s="101" t="s">
        <v>278</v>
      </c>
      <c r="C11" s="99" t="s">
        <v>273</v>
      </c>
      <c r="D11" s="105">
        <v>60.42</v>
      </c>
      <c r="E11" s="105">
        <v>60.8</v>
      </c>
      <c r="F11" s="107">
        <v>-0.37999999999999545</v>
      </c>
      <c r="G11" s="105">
        <v>55.94</v>
      </c>
      <c r="H11" s="99" t="s">
        <v>279</v>
      </c>
    </row>
    <row r="12">
      <c r="B12" s="101" t="s">
        <v>110</v>
      </c>
      <c r="C12" s="99" t="s">
        <v>273</v>
      </c>
      <c r="D12" s="104">
        <v>0.04223452726</v>
      </c>
      <c r="E12" s="104">
        <v>0.044430246091</v>
      </c>
      <c r="F12" s="106">
        <v>-0.21957188309999973</v>
      </c>
      <c r="G12" s="104">
        <v>0.0513050077750392</v>
      </c>
      <c r="H12" s="99" t="s">
        <v>280</v>
      </c>
    </row>
    <row r="13">
      <c r="B13" s="101" t="s">
        <v>281</v>
      </c>
      <c r="C13" s="99" t="s">
        <v>282</v>
      </c>
      <c r="D13" s="104">
        <v>0.1375</v>
      </c>
      <c r="E13" s="104">
        <v>0.14</v>
      </c>
      <c r="F13" s="106">
        <v>-0.2500000000000002</v>
      </c>
      <c r="G13" s="104">
        <v>0.15</v>
      </c>
      <c r="H13" s="99" t="s">
        <v>283</v>
      </c>
    </row>
    <row r="14">
      <c r="B14" s="98" t="s">
        <v>263</v>
      </c>
      <c r="C14" s="98" t="s">
        <v>79</v>
      </c>
      <c r="D14" s="98" t="s">
        <v>284</v>
      </c>
      <c r="E14" s="98"/>
      <c r="H14" s="98" t="s">
        <v>285</v>
      </c>
      <c r="I14" s="98" t="s">
        <v>286</v>
      </c>
    </row>
    <row r="15" ht="26" customHeight="1">
      <c r="B15" s="99" t="s">
        <v>110</v>
      </c>
      <c r="C15" s="99"/>
      <c r="D15" s="99" t="s">
        <v>287</v>
      </c>
      <c r="E15" s="99"/>
      <c r="F15" s="99"/>
      <c r="G15" s="99"/>
      <c r="H15" s="102" t="s">
        <v>288</v>
      </c>
      <c r="I15" s="99"/>
      <c r="J15" s="99"/>
    </row>
    <row r="17" ht="18" customHeight="1">
      <c r="B17" s="97" t="s">
        <v>61</v>
      </c>
      <c r="C17" s="97"/>
      <c r="D17" s="97"/>
      <c r="E17" s="97"/>
      <c r="F17" s="97"/>
      <c r="G17" s="97"/>
      <c r="H17" s="97"/>
      <c r="I17" s="97"/>
      <c r="J17" s="97"/>
    </row>
    <row r="18" ht="28" customHeight="1">
      <c r="B18" s="111" t="s">
        <v>289</v>
      </c>
      <c r="C18" s="111"/>
      <c r="D18" s="111"/>
      <c r="E18" s="111"/>
      <c r="F18" s="111"/>
      <c r="G18" s="111"/>
      <c r="H18" s="111"/>
      <c r="I18" s="111"/>
      <c r="J18" s="111"/>
    </row>
    <row r="19">
      <c r="B19" s="98" t="s">
        <v>263</v>
      </c>
      <c r="C19" s="98" t="s">
        <v>264</v>
      </c>
      <c r="D19" s="98" t="s">
        <v>265</v>
      </c>
      <c r="E19" s="98" t="s">
        <v>266</v>
      </c>
      <c r="F19" s="98" t="s">
        <v>267</v>
      </c>
      <c r="G19" s="98" t="s">
        <v>268</v>
      </c>
      <c r="H19" s="98" t="s">
        <v>269</v>
      </c>
    </row>
    <row r="20">
      <c r="B20" s="101" t="s">
        <v>270</v>
      </c>
      <c r="C20" s="99" t="s">
        <v>273</v>
      </c>
      <c r="D20" s="104">
        <v>-0.01</v>
      </c>
      <c r="E20" s="104">
        <v>-0.015</v>
      </c>
      <c r="F20" s="106">
        <v>0.49999999999999994</v>
      </c>
      <c r="G20" s="104">
        <v>0.003</v>
      </c>
      <c r="H20" s="99" t="s">
        <v>290</v>
      </c>
    </row>
    <row r="21">
      <c r="B21" s="101" t="s">
        <v>88</v>
      </c>
      <c r="C21" s="99" t="s">
        <v>291</v>
      </c>
      <c r="D21" s="104">
        <v>0.046</v>
      </c>
      <c r="E21" s="104">
        <v>0.056</v>
      </c>
      <c r="F21" s="106">
        <v>-1.0000000000000002</v>
      </c>
      <c r="G21" s="104">
        <v>0.04</v>
      </c>
      <c r="H21" s="99" t="s">
        <v>292</v>
      </c>
    </row>
    <row r="22">
      <c r="B22" s="101" t="s">
        <v>275</v>
      </c>
      <c r="C22" s="99" t="s">
        <v>282</v>
      </c>
      <c r="D22" s="105">
        <v>51.8</v>
      </c>
      <c r="E22" s="105">
        <v>53.09</v>
      </c>
      <c r="F22" s="107">
        <v>-1.2900000000000063</v>
      </c>
      <c r="G22" s="105">
        <v>50.1501501501501</v>
      </c>
      <c r="H22" s="99" t="s">
        <v>293</v>
      </c>
    </row>
    <row r="23">
      <c r="B23" s="101" t="s">
        <v>278</v>
      </c>
      <c r="C23" s="99" t="s">
        <v>282</v>
      </c>
      <c r="D23" s="105">
        <v>40.5</v>
      </c>
      <c r="E23" s="105">
        <v>38.1</v>
      </c>
      <c r="F23" s="107">
        <v>2.3999999999999986</v>
      </c>
      <c r="G23" s="105">
        <v>44</v>
      </c>
      <c r="H23" s="99" t="s">
        <v>294</v>
      </c>
    </row>
    <row r="24">
      <c r="B24" s="101" t="s">
        <v>110</v>
      </c>
      <c r="C24" s="99" t="s">
        <v>273</v>
      </c>
      <c r="D24" s="104">
        <v>0.041321553</v>
      </c>
      <c r="E24" s="104">
        <v>0.035260541</v>
      </c>
      <c r="F24" s="106">
        <v>0.6061011999999998</v>
      </c>
      <c r="G24" s="104">
        <v>0.04</v>
      </c>
      <c r="H24" s="99" t="s">
        <v>295</v>
      </c>
    </row>
    <row r="25">
      <c r="B25" s="101" t="s">
        <v>281</v>
      </c>
      <c r="C25" s="99" t="s">
        <v>282</v>
      </c>
      <c r="D25" s="104">
        <v>0.045</v>
      </c>
      <c r="E25" s="104">
        <v>0.045</v>
      </c>
      <c r="F25" s="106">
        <v>0</v>
      </c>
      <c r="G25" s="104">
        <v>0.0475</v>
      </c>
      <c r="H25" s="99" t="s">
        <v>296</v>
      </c>
    </row>
    <row r="26">
      <c r="B26" s="98" t="s">
        <v>263</v>
      </c>
      <c r="C26" s="98" t="s">
        <v>79</v>
      </c>
      <c r="D26" s="98" t="s">
        <v>284</v>
      </c>
      <c r="E26" s="98"/>
      <c r="H26" s="98" t="s">
        <v>285</v>
      </c>
      <c r="I26" s="98" t="s">
        <v>286</v>
      </c>
    </row>
    <row r="27" ht="26" customHeight="1">
      <c r="B27" s="99" t="s">
        <v>270</v>
      </c>
      <c r="C27" s="99"/>
      <c r="D27" s="99" t="s">
        <v>297</v>
      </c>
      <c r="E27" s="99"/>
      <c r="F27" s="99"/>
      <c r="G27" s="99"/>
      <c r="H27" s="102" t="s">
        <v>298</v>
      </c>
      <c r="I27" s="99"/>
      <c r="J27" s="99"/>
    </row>
    <row r="29" ht="18" customHeight="1">
      <c r="B29" s="97" t="s">
        <v>62</v>
      </c>
      <c r="C29" s="97"/>
      <c r="D29" s="97"/>
      <c r="E29" s="97"/>
      <c r="F29" s="97"/>
      <c r="G29" s="97"/>
      <c r="H29" s="97"/>
      <c r="I29" s="97"/>
      <c r="J29" s="97"/>
    </row>
    <row r="30" ht="28" customHeight="1">
      <c r="B30" s="111" t="s">
        <v>299</v>
      </c>
      <c r="C30" s="111"/>
      <c r="D30" s="111"/>
      <c r="E30" s="111"/>
      <c r="F30" s="111"/>
      <c r="G30" s="111"/>
      <c r="H30" s="111"/>
      <c r="I30" s="111"/>
      <c r="J30" s="111"/>
    </row>
    <row r="31">
      <c r="B31" s="98" t="s">
        <v>263</v>
      </c>
      <c r="C31" s="98" t="s">
        <v>264</v>
      </c>
      <c r="D31" s="98" t="s">
        <v>265</v>
      </c>
      <c r="E31" s="98" t="s">
        <v>266</v>
      </c>
      <c r="F31" s="98" t="s">
        <v>267</v>
      </c>
      <c r="G31" s="98" t="s">
        <v>268</v>
      </c>
      <c r="H31" s="98" t="s">
        <v>269</v>
      </c>
    </row>
    <row r="32">
      <c r="B32" s="101" t="s">
        <v>270</v>
      </c>
      <c r="C32" s="99" t="s">
        <v>271</v>
      </c>
      <c r="D32" s="104">
        <v>0.0111</v>
      </c>
      <c r="E32" s="104">
        <v>0.0341</v>
      </c>
      <c r="F32" s="106">
        <v>-2.3</v>
      </c>
      <c r="G32" s="104">
        <v>0.04750617697389785</v>
      </c>
      <c r="H32" s="99" t="s">
        <v>300</v>
      </c>
    </row>
    <row r="33">
      <c r="B33" s="101" t="s">
        <v>88</v>
      </c>
      <c r="C33" s="99" t="s">
        <v>273</v>
      </c>
      <c r="D33" s="104">
        <v>0.073</v>
      </c>
      <c r="E33" s="104">
        <v>0.053</v>
      </c>
      <c r="F33" s="106">
        <v>1.9999999999999998</v>
      </c>
      <c r="G33" s="104">
        <v>0.125</v>
      </c>
      <c r="H33" s="99" t="s">
        <v>301</v>
      </c>
    </row>
    <row r="34">
      <c r="B34" s="101" t="s">
        <v>275</v>
      </c>
      <c r="C34" s="99" t="s">
        <v>273</v>
      </c>
      <c r="D34" s="105">
        <v>61.65</v>
      </c>
      <c r="E34" s="105">
        <v>63.75</v>
      </c>
      <c r="F34" s="107">
        <v>-2.1000000000000014</v>
      </c>
      <c r="G34" s="105">
        <v>63.25</v>
      </c>
      <c r="H34" s="99" t="s">
        <v>302</v>
      </c>
    </row>
    <row r="35">
      <c r="B35" s="101" t="s">
        <v>278</v>
      </c>
      <c r="C35" s="99" t="s">
        <v>282</v>
      </c>
      <c r="D35" s="105">
        <v>57.85</v>
      </c>
      <c r="E35" s="105">
        <v>57.75</v>
      </c>
      <c r="F35" s="107">
        <v>0.10000000000000142</v>
      </c>
      <c r="G35" s="105">
        <v>50.8</v>
      </c>
      <c r="H35" s="99" t="s">
        <v>303</v>
      </c>
    </row>
    <row r="36">
      <c r="B36" s="101" t="s">
        <v>110</v>
      </c>
      <c r="C36" s="99" t="s">
        <v>273</v>
      </c>
      <c r="D36" s="104">
        <v>0.062417</v>
      </c>
      <c r="E36" s="104">
        <v>0.060263</v>
      </c>
      <c r="F36" s="106">
        <v>0.2154000000000003</v>
      </c>
      <c r="G36" s="104">
        <v>0.051100000000000007</v>
      </c>
      <c r="H36" s="99" t="s">
        <v>304</v>
      </c>
    </row>
    <row r="37">
      <c r="B37" s="101" t="s">
        <v>281</v>
      </c>
      <c r="C37" s="99" t="s">
        <v>282</v>
      </c>
      <c r="D37" s="104">
        <v>0.12</v>
      </c>
      <c r="E37" s="104">
        <v>0.12</v>
      </c>
      <c r="F37" s="106">
        <v>0</v>
      </c>
      <c r="G37" s="104">
        <v>0.0925</v>
      </c>
      <c r="H37" s="99" t="s">
        <v>305</v>
      </c>
    </row>
    <row r="38">
      <c r="B38" s="98" t="s">
        <v>263</v>
      </c>
      <c r="C38" s="98" t="s">
        <v>79</v>
      </c>
      <c r="D38" s="98" t="s">
        <v>284</v>
      </c>
      <c r="E38" s="98"/>
      <c r="H38" s="98" t="s">
        <v>285</v>
      </c>
      <c r="I38" s="98" t="s">
        <v>286</v>
      </c>
    </row>
    <row r="39" ht="26" customHeight="1">
      <c r="B39" s="99" t="s">
        <v>110</v>
      </c>
      <c r="C39" s="99"/>
      <c r="D39" s="99" t="s">
        <v>306</v>
      </c>
      <c r="E39" s="99"/>
      <c r="F39" s="99"/>
      <c r="G39" s="99"/>
      <c r="H39" s="102" t="s">
        <v>307</v>
      </c>
      <c r="I39" s="99"/>
      <c r="J39" s="99"/>
    </row>
    <row r="40" ht="14.5" customHeight="1">
      <c r="B40" s="99" t="s">
        <v>110</v>
      </c>
      <c r="C40" s="99"/>
      <c r="D40" s="99" t="s">
        <v>308</v>
      </c>
      <c r="E40" s="99"/>
      <c r="F40" s="99"/>
      <c r="G40" s="99"/>
      <c r="H40" s="102" t="s">
        <v>309</v>
      </c>
      <c r="I40" s="99"/>
      <c r="J40" s="99"/>
    </row>
    <row r="42" ht="18" customHeight="1">
      <c r="B42" s="97" t="s">
        <v>63</v>
      </c>
      <c r="C42" s="97"/>
      <c r="D42" s="97"/>
      <c r="E42" s="97"/>
      <c r="F42" s="97"/>
      <c r="G42" s="97"/>
      <c r="H42" s="97"/>
      <c r="I42" s="97"/>
      <c r="J42" s="97"/>
    </row>
    <row r="43" ht="42" customHeight="1">
      <c r="B43" s="111" t="s">
        <v>310</v>
      </c>
      <c r="C43" s="111"/>
      <c r="D43" s="111"/>
      <c r="E43" s="111"/>
      <c r="F43" s="111"/>
      <c r="G43" s="111"/>
      <c r="H43" s="111"/>
      <c r="I43" s="111"/>
      <c r="J43" s="111"/>
    </row>
    <row r="44">
      <c r="B44" s="98" t="s">
        <v>263</v>
      </c>
      <c r="C44" s="98" t="s">
        <v>264</v>
      </c>
      <c r="D44" s="98" t="s">
        <v>265</v>
      </c>
      <c r="E44" s="98" t="s">
        <v>266</v>
      </c>
      <c r="F44" s="98" t="s">
        <v>267</v>
      </c>
      <c r="G44" s="98" t="s">
        <v>268</v>
      </c>
      <c r="H44" s="98" t="s">
        <v>269</v>
      </c>
    </row>
    <row r="45">
      <c r="B45" s="101" t="s">
        <v>270</v>
      </c>
      <c r="C45" s="99" t="s">
        <v>271</v>
      </c>
      <c r="D45" s="104">
        <v>0.034</v>
      </c>
      <c r="E45" s="104">
        <v>0.028</v>
      </c>
      <c r="F45" s="106">
        <v>0.6000000000000002</v>
      </c>
      <c r="G45" s="104">
        <v>-0.0093503260798056</v>
      </c>
      <c r="H45" s="99" t="s">
        <v>311</v>
      </c>
    </row>
    <row r="46">
      <c r="B46" s="101" t="s">
        <v>88</v>
      </c>
      <c r="C46" s="99" t="s">
        <v>271</v>
      </c>
      <c r="D46" s="104">
        <v>0.018</v>
      </c>
      <c r="E46" s="104">
        <v>0.027</v>
      </c>
      <c r="F46" s="106">
        <v>-0.9000000000000001</v>
      </c>
      <c r="G46" s="104">
        <v>0.024</v>
      </c>
      <c r="H46" s="99" t="s">
        <v>312</v>
      </c>
    </row>
    <row r="47">
      <c r="B47" s="101" t="s">
        <v>313</v>
      </c>
      <c r="C47" s="99" t="s">
        <v>291</v>
      </c>
      <c r="D47" s="104">
        <v>0.017</v>
      </c>
      <c r="E47" s="104">
        <v>0.011</v>
      </c>
      <c r="F47" s="106">
        <v>0.6000000000000002</v>
      </c>
      <c r="G47" s="104">
        <v>0.03</v>
      </c>
      <c r="H47" s="99" t="s">
        <v>314</v>
      </c>
    </row>
    <row r="48">
      <c r="B48" s="101" t="s">
        <v>275</v>
      </c>
      <c r="C48" s="99" t="s">
        <v>282</v>
      </c>
      <c r="D48" s="105">
        <v>47.9</v>
      </c>
      <c r="E48" s="105">
        <v>48</v>
      </c>
      <c r="F48" s="107">
        <v>-0.10000000000000142</v>
      </c>
      <c r="G48" s="105">
        <v>49.31939906</v>
      </c>
      <c r="H48" s="99" t="s">
        <v>315</v>
      </c>
    </row>
    <row r="49">
      <c r="B49" s="101" t="s">
        <v>278</v>
      </c>
      <c r="C49" s="99" t="s">
        <v>282</v>
      </c>
      <c r="D49" s="105">
        <v>45.0722</v>
      </c>
      <c r="E49" s="105">
        <v>46.2925</v>
      </c>
      <c r="F49" s="107">
        <v>-1.2202999999999946</v>
      </c>
      <c r="G49" s="105">
        <v>46.0462</v>
      </c>
      <c r="H49" s="99" t="s">
        <v>316</v>
      </c>
    </row>
    <row r="50">
      <c r="B50" s="101" t="s">
        <v>110</v>
      </c>
      <c r="C50" s="99" t="s">
        <v>273</v>
      </c>
      <c r="D50" s="104">
        <v>0.03261942</v>
      </c>
      <c r="E50" s="104">
        <v>0.0311763</v>
      </c>
      <c r="F50" s="106">
        <v>0.14431200000000027</v>
      </c>
      <c r="G50" s="104">
        <v>0.035699999999999996</v>
      </c>
      <c r="H50" s="99" t="s">
        <v>317</v>
      </c>
    </row>
    <row r="51">
      <c r="B51" s="101" t="s">
        <v>281</v>
      </c>
      <c r="C51" s="99" t="s">
        <v>282</v>
      </c>
      <c r="D51" s="104">
        <v>0.065</v>
      </c>
      <c r="E51" s="104">
        <v>0.065</v>
      </c>
      <c r="F51" s="106">
        <v>0</v>
      </c>
      <c r="G51" s="104">
        <v>0.075</v>
      </c>
      <c r="H51" s="99" t="s">
        <v>318</v>
      </c>
    </row>
    <row r="52">
      <c r="B52" s="98" t="s">
        <v>263</v>
      </c>
      <c r="C52" s="98" t="s">
        <v>79</v>
      </c>
      <c r="D52" s="98" t="s">
        <v>284</v>
      </c>
      <c r="E52" s="98"/>
      <c r="H52" s="98" t="s">
        <v>285</v>
      </c>
      <c r="I52" s="98" t="s">
        <v>286</v>
      </c>
    </row>
    <row r="53" ht="14.5" customHeight="1">
      <c r="B53" s="99" t="s">
        <v>270</v>
      </c>
      <c r="C53" s="99"/>
      <c r="D53" s="99" t="s">
        <v>319</v>
      </c>
      <c r="E53" s="99"/>
      <c r="F53" s="99"/>
      <c r="G53" s="99"/>
      <c r="H53" s="102" t="s">
        <v>320</v>
      </c>
      <c r="I53" s="99"/>
      <c r="J53" s="99"/>
    </row>
    <row r="54" ht="26" customHeight="1">
      <c r="B54" s="99" t="s">
        <v>110</v>
      </c>
      <c r="C54" s="99"/>
      <c r="D54" s="99" t="s">
        <v>321</v>
      </c>
      <c r="E54" s="99"/>
      <c r="F54" s="99"/>
      <c r="G54" s="99"/>
      <c r="H54" s="102" t="s">
        <v>322</v>
      </c>
      <c r="I54" s="99"/>
      <c r="J54" s="99"/>
    </row>
    <row r="56" ht="18" customHeight="1">
      <c r="B56" s="97" t="s">
        <v>64</v>
      </c>
      <c r="C56" s="97"/>
      <c r="D56" s="97"/>
      <c r="E56" s="97"/>
      <c r="F56" s="97"/>
      <c r="G56" s="97"/>
      <c r="H56" s="97"/>
      <c r="I56" s="97"/>
      <c r="J56" s="97"/>
    </row>
    <row r="57" ht="28" customHeight="1">
      <c r="B57" s="111" t="s">
        <v>323</v>
      </c>
      <c r="C57" s="111"/>
      <c r="D57" s="111"/>
      <c r="E57" s="111"/>
      <c r="F57" s="111"/>
      <c r="G57" s="111"/>
      <c r="H57" s="111"/>
      <c r="I57" s="111"/>
      <c r="J57" s="111"/>
    </row>
    <row r="58">
      <c r="B58" s="98" t="s">
        <v>263</v>
      </c>
      <c r="C58" s="98" t="s">
        <v>264</v>
      </c>
      <c r="D58" s="98" t="s">
        <v>265</v>
      </c>
      <c r="E58" s="98" t="s">
        <v>266</v>
      </c>
      <c r="F58" s="98" t="s">
        <v>267</v>
      </c>
      <c r="G58" s="98" t="s">
        <v>268</v>
      </c>
      <c r="H58" s="98" t="s">
        <v>269</v>
      </c>
    </row>
    <row r="59">
      <c r="B59" s="101" t="s">
        <v>270</v>
      </c>
      <c r="C59" s="99" t="s">
        <v>271</v>
      </c>
      <c r="D59" s="104">
        <v>0.035592604174</v>
      </c>
      <c r="E59" s="104">
        <v>0.017513508585</v>
      </c>
      <c r="F59" s="106">
        <v>1.8079095589</v>
      </c>
      <c r="G59" s="104">
        <v>0.035506417542</v>
      </c>
      <c r="H59" s="99" t="s">
        <v>324</v>
      </c>
    </row>
    <row r="60">
      <c r="B60" s="101" t="s">
        <v>275</v>
      </c>
      <c r="C60" s="99" t="s">
        <v>282</v>
      </c>
      <c r="D60" s="105">
        <v>66.730038022814</v>
      </c>
      <c r="E60" s="105">
        <v>67.283950617284</v>
      </c>
      <c r="F60" s="107">
        <v>-0.5539125944700061</v>
      </c>
      <c r="G60" s="105">
        <v>64.51048951049</v>
      </c>
      <c r="H60" s="99" t="s">
        <v>325</v>
      </c>
    </row>
    <row r="61">
      <c r="B61" s="101" t="s">
        <v>110</v>
      </c>
      <c r="C61" s="99" t="s">
        <v>282</v>
      </c>
      <c r="D61" s="104">
        <v>0.045486546948</v>
      </c>
      <c r="E61" s="104">
        <v>0.044378092978</v>
      </c>
      <c r="F61" s="106">
        <v>0.11084539699999993</v>
      </c>
      <c r="G61" s="104">
        <v>0.013583934214</v>
      </c>
      <c r="H61" s="99" t="s">
        <v>326</v>
      </c>
    </row>
    <row r="62">
      <c r="B62" s="101" t="s">
        <v>281</v>
      </c>
      <c r="C62" s="99" t="s">
        <v>276</v>
      </c>
      <c r="D62" s="104">
        <v>0.0425</v>
      </c>
      <c r="E62" s="104">
        <v>0.0425</v>
      </c>
      <c r="F62" s="106">
        <v>0</v>
      </c>
      <c r="G62" s="104">
        <v>0.0425</v>
      </c>
      <c r="H62" s="99" t="s">
        <v>327</v>
      </c>
    </row>
    <row r="63">
      <c r="B63" s="98" t="s">
        <v>263</v>
      </c>
      <c r="C63" s="98" t="s">
        <v>79</v>
      </c>
      <c r="D63" s="98" t="s">
        <v>284</v>
      </c>
      <c r="E63" s="98"/>
      <c r="H63" s="98" t="s">
        <v>285</v>
      </c>
      <c r="I63" s="98" t="s">
        <v>286</v>
      </c>
    </row>
    <row r="64" ht="26" customHeight="1">
      <c r="B64" s="99" t="s">
        <v>270</v>
      </c>
      <c r="C64" s="99"/>
      <c r="D64" s="99" t="s">
        <v>328</v>
      </c>
      <c r="E64" s="99"/>
      <c r="F64" s="99"/>
      <c r="G64" s="99"/>
      <c r="H64" s="102" t="s">
        <v>329</v>
      </c>
      <c r="I64" s="99"/>
      <c r="J64" s="99"/>
    </row>
    <row r="66" ht="18" customHeight="1">
      <c r="B66" s="97" t="s">
        <v>330</v>
      </c>
      <c r="C66" s="97"/>
      <c r="D66" s="97"/>
      <c r="E66" s="97"/>
      <c r="F66" s="97"/>
      <c r="G66" s="97"/>
      <c r="H66" s="97"/>
      <c r="I66" s="97"/>
      <c r="J66" s="97"/>
    </row>
    <row r="67" ht="28" customHeight="1">
      <c r="B67" s="111" t="s">
        <v>331</v>
      </c>
      <c r="C67" s="111"/>
      <c r="D67" s="111"/>
      <c r="E67" s="111"/>
      <c r="F67" s="111"/>
      <c r="G67" s="111"/>
      <c r="H67" s="111"/>
      <c r="I67" s="111"/>
      <c r="J67" s="111"/>
    </row>
    <row r="68">
      <c r="B68" s="98" t="s">
        <v>263</v>
      </c>
      <c r="C68" s="98" t="s">
        <v>264</v>
      </c>
      <c r="D68" s="98" t="s">
        <v>265</v>
      </c>
      <c r="E68" s="98" t="s">
        <v>266</v>
      </c>
      <c r="F68" s="98" t="s">
        <v>267</v>
      </c>
      <c r="G68" s="98" t="s">
        <v>268</v>
      </c>
      <c r="H68" s="98" t="s">
        <v>269</v>
      </c>
    </row>
    <row r="69">
      <c r="B69" s="101" t="s">
        <v>110</v>
      </c>
      <c r="C69" s="99" t="s">
        <v>282</v>
      </c>
      <c r="D69" s="104">
        <v>0.037</v>
      </c>
      <c r="E69" s="104">
        <v>0.03396548</v>
      </c>
      <c r="F69" s="106">
        <v>0.3034519999999999</v>
      </c>
      <c r="G69" s="104">
        <v>0.0302257</v>
      </c>
      <c r="H69" s="99" t="s">
        <v>332</v>
      </c>
    </row>
    <row r="70">
      <c r="B70" s="101" t="s">
        <v>281</v>
      </c>
      <c r="C70" s="99" t="s">
        <v>282</v>
      </c>
      <c r="D70" s="104">
        <v>0.0375</v>
      </c>
      <c r="E70" s="104">
        <v>0.0363</v>
      </c>
      <c r="F70" s="106">
        <v>0.11999999999999997</v>
      </c>
      <c r="G70" s="104">
        <v>0.0422</v>
      </c>
      <c r="H70" s="99" t="s">
        <v>333</v>
      </c>
    </row>
  </sheetData>
  <mergeCells count="31">
    <mergeCell ref="B5:J5"/>
    <mergeCell ref="B6:J6"/>
    <mergeCell ref="E14:G14"/>
    <mergeCell ref="D15:G15"/>
    <mergeCell ref="I15:J15"/>
    <mergeCell ref="B17:J17"/>
    <mergeCell ref="B18:J18"/>
    <mergeCell ref="E26:G26"/>
    <mergeCell ref="D27:G27"/>
    <mergeCell ref="I27:J27"/>
    <mergeCell ref="B29:J29"/>
    <mergeCell ref="B30:J30"/>
    <mergeCell ref="E38:G38"/>
    <mergeCell ref="D39:G39"/>
    <mergeCell ref="I39:J39"/>
    <mergeCell ref="D40:G40"/>
    <mergeCell ref="I40:J40"/>
    <mergeCell ref="B42:J42"/>
    <mergeCell ref="B43:J43"/>
    <mergeCell ref="E52:G52"/>
    <mergeCell ref="D53:G53"/>
    <mergeCell ref="I53:J53"/>
    <mergeCell ref="D54:G54"/>
    <mergeCell ref="I54:J54"/>
    <mergeCell ref="B56:J56"/>
    <mergeCell ref="B57:J57"/>
    <mergeCell ref="E63:G63"/>
    <mergeCell ref="D64:G64"/>
    <mergeCell ref="I64:J64"/>
    <mergeCell ref="B66:J66"/>
    <mergeCell ref="B67:J67"/>
  </mergeCells>
  <hyperlinks>
    <hyperlink ref="H15" r:id="rId1"/>
    <hyperlink ref="H27" r:id="rId2"/>
    <hyperlink ref="H39" r:id="rId3"/>
    <hyperlink ref="H40" r:id="rId4"/>
    <hyperlink ref="H53" r:id="rId5"/>
    <hyperlink ref="H54" r:id="rId6"/>
    <hyperlink ref="H64" r:id="rId7"/>
  </hyperlinks>
  <pageMargins left="0.4" right="0.4" top="0.5" bottom="0.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5" topLeftCell="A6" activePane="bottomLeft" state="frozen"/>
      <selection pane="bottomLeft" activeCell="A6" sqref="A6"/>
    </sheetView>
  </sheetViews>
  <sheetFormatPr defaultRowHeight="14.5"/>
  <cols>
    <col min="1" max="1" width="2" customWidth="1"/>
    <col min="2" max="2" width="24" customWidth="1"/>
    <col min="3" max="3" width="16" customWidth="1"/>
    <col min="4" max="4" width="13" customWidth="1"/>
    <col min="5" max="5" width="30" customWidth="1"/>
    <col min="6" max="6" width="12" customWidth="1"/>
    <col min="7" max="7" width="11" customWidth="1"/>
    <col min="8" max="8" width="30" customWidth="1"/>
    <col min="9" max="9" width="60" customWidth="1"/>
  </cols>
  <sheetData>
    <row r="2">
      <c r="B2" s="95" t="s">
        <v>334</v>
      </c>
    </row>
    <row r="3">
      <c r="B3" s="96" t="s">
        <v>335</v>
      </c>
    </row>
    <row r="5" ht="24" customHeight="1">
      <c r="B5" s="98" t="s">
        <v>35</v>
      </c>
      <c r="C5" s="98" t="s">
        <v>336</v>
      </c>
      <c r="D5" s="98" t="s">
        <v>337</v>
      </c>
      <c r="E5" s="98" t="s">
        <v>338</v>
      </c>
      <c r="F5" s="98" t="s">
        <v>339</v>
      </c>
      <c r="G5" s="98" t="s">
        <v>340</v>
      </c>
      <c r="H5" s="98" t="s">
        <v>341</v>
      </c>
      <c r="I5" s="98" t="s">
        <v>342</v>
      </c>
    </row>
    <row r="6">
      <c r="B6" s="99" t="s">
        <v>17</v>
      </c>
      <c r="C6" s="99" t="s">
        <v>60</v>
      </c>
      <c r="D6" s="108" t="s">
        <v>343</v>
      </c>
      <c r="E6" s="99" t="s">
        <v>344</v>
      </c>
      <c r="F6" s="99" t="s">
        <v>345</v>
      </c>
      <c r="G6" s="99">
        <v>19</v>
      </c>
      <c r="H6" s="99" t="s">
        <v>346</v>
      </c>
      <c r="I6" s="99" t="s">
        <v>347</v>
      </c>
    </row>
    <row r="7">
      <c r="B7" s="99" t="s">
        <v>17</v>
      </c>
      <c r="C7" s="99" t="s">
        <v>61</v>
      </c>
      <c r="D7" s="108" t="s">
        <v>343</v>
      </c>
      <c r="E7" s="99" t="s">
        <v>348</v>
      </c>
      <c r="F7" s="99" t="s">
        <v>349</v>
      </c>
      <c r="G7" s="99">
        <v>32</v>
      </c>
      <c r="H7" s="99" t="s">
        <v>350</v>
      </c>
      <c r="I7" s="99" t="s">
        <v>351</v>
      </c>
    </row>
    <row r="8">
      <c r="B8" s="99" t="s">
        <v>17</v>
      </c>
      <c r="C8" s="99" t="s">
        <v>62</v>
      </c>
      <c r="D8" s="109" t="s">
        <v>352</v>
      </c>
      <c r="E8" s="99" t="s">
        <v>353</v>
      </c>
      <c r="F8" s="99" t="s">
        <v>345</v>
      </c>
      <c r="G8" s="99">
        <v>0</v>
      </c>
      <c r="H8" s="99"/>
      <c r="I8" s="99" t="s">
        <v>354</v>
      </c>
    </row>
    <row r="9">
      <c r="B9" s="99" t="s">
        <v>17</v>
      </c>
      <c r="C9" s="99" t="s">
        <v>63</v>
      </c>
      <c r="D9" s="109" t="s">
        <v>352</v>
      </c>
      <c r="E9" s="99" t="s">
        <v>353</v>
      </c>
      <c r="F9" s="99" t="s">
        <v>345</v>
      </c>
      <c r="G9" s="99">
        <v>0</v>
      </c>
      <c r="H9" s="99"/>
      <c r="I9" s="99" t="s">
        <v>355</v>
      </c>
    </row>
    <row r="10">
      <c r="B10" s="99" t="s">
        <v>17</v>
      </c>
      <c r="C10" s="99" t="s">
        <v>64</v>
      </c>
      <c r="D10" s="108" t="s">
        <v>343</v>
      </c>
      <c r="E10" s="99" t="s">
        <v>356</v>
      </c>
      <c r="F10" s="99" t="s">
        <v>345</v>
      </c>
      <c r="G10" s="99">
        <v>14</v>
      </c>
      <c r="H10" s="99" t="s">
        <v>357</v>
      </c>
      <c r="I10" s="99" t="s">
        <v>358</v>
      </c>
    </row>
    <row r="11">
      <c r="B11" s="99" t="s">
        <v>18</v>
      </c>
      <c r="C11" s="99" t="s">
        <v>60</v>
      </c>
      <c r="D11" s="108" t="s">
        <v>343</v>
      </c>
      <c r="E11" s="99" t="s">
        <v>359</v>
      </c>
      <c r="F11" s="99" t="s">
        <v>349</v>
      </c>
      <c r="G11" s="99">
        <v>20</v>
      </c>
      <c r="H11" s="99" t="s">
        <v>360</v>
      </c>
      <c r="I11" s="99" t="s">
        <v>361</v>
      </c>
    </row>
    <row r="12">
      <c r="B12" s="99" t="s">
        <v>18</v>
      </c>
      <c r="C12" s="99" t="s">
        <v>61</v>
      </c>
      <c r="D12" s="110" t="s">
        <v>362</v>
      </c>
      <c r="E12" s="99"/>
      <c r="F12" s="99" t="s">
        <v>363</v>
      </c>
      <c r="G12" s="99">
        <v>0</v>
      </c>
      <c r="H12" s="99"/>
      <c r="I12" s="99" t="s">
        <v>364</v>
      </c>
    </row>
    <row r="13">
      <c r="B13" s="99" t="s">
        <v>18</v>
      </c>
      <c r="C13" s="99" t="s">
        <v>62</v>
      </c>
      <c r="D13" s="109" t="s">
        <v>352</v>
      </c>
      <c r="E13" s="99" t="s">
        <v>353</v>
      </c>
      <c r="F13" s="99" t="s">
        <v>349</v>
      </c>
      <c r="G13" s="99">
        <v>0</v>
      </c>
      <c r="H13" s="99"/>
      <c r="I13" s="99" t="s">
        <v>365</v>
      </c>
    </row>
    <row r="14">
      <c r="B14" s="99" t="s">
        <v>18</v>
      </c>
      <c r="C14" s="99" t="s">
        <v>63</v>
      </c>
      <c r="D14" s="109" t="s">
        <v>352</v>
      </c>
      <c r="E14" s="99" t="s">
        <v>353</v>
      </c>
      <c r="F14" s="99" t="s">
        <v>345</v>
      </c>
      <c r="G14" s="99">
        <v>0</v>
      </c>
      <c r="H14" s="99"/>
      <c r="I14" s="99" t="s">
        <v>355</v>
      </c>
    </row>
    <row r="15">
      <c r="B15" s="99" t="s">
        <v>19</v>
      </c>
      <c r="C15" s="99" t="s">
        <v>60</v>
      </c>
      <c r="D15" s="108" t="s">
        <v>343</v>
      </c>
      <c r="E15" s="99" t="s">
        <v>366</v>
      </c>
      <c r="F15" s="99" t="s">
        <v>367</v>
      </c>
      <c r="G15" s="99">
        <v>6</v>
      </c>
      <c r="H15" s="99" t="s">
        <v>368</v>
      </c>
      <c r="I15" s="99" t="s">
        <v>369</v>
      </c>
    </row>
    <row r="16">
      <c r="B16" s="99" t="s">
        <v>19</v>
      </c>
      <c r="C16" s="99" t="s">
        <v>61</v>
      </c>
      <c r="D16" s="108" t="s">
        <v>343</v>
      </c>
      <c r="E16" s="99" t="s">
        <v>370</v>
      </c>
      <c r="F16" s="99" t="s">
        <v>371</v>
      </c>
      <c r="G16" s="99">
        <v>8</v>
      </c>
      <c r="H16" s="99" t="s">
        <v>372</v>
      </c>
      <c r="I16" s="99" t="s">
        <v>373</v>
      </c>
    </row>
    <row r="17">
      <c r="B17" s="99" t="s">
        <v>19</v>
      </c>
      <c r="C17" s="99" t="s">
        <v>62</v>
      </c>
      <c r="D17" s="109" t="s">
        <v>352</v>
      </c>
      <c r="E17" s="99" t="s">
        <v>353</v>
      </c>
      <c r="F17" s="99" t="s">
        <v>349</v>
      </c>
      <c r="G17" s="99">
        <v>0</v>
      </c>
      <c r="H17" s="99"/>
      <c r="I17" s="99" t="s">
        <v>374</v>
      </c>
    </row>
    <row r="18">
      <c r="B18" s="99" t="s">
        <v>19</v>
      </c>
      <c r="C18" s="99" t="s">
        <v>63</v>
      </c>
      <c r="D18" s="109" t="s">
        <v>352</v>
      </c>
      <c r="E18" s="99" t="s">
        <v>353</v>
      </c>
      <c r="F18" s="99" t="s">
        <v>371</v>
      </c>
      <c r="G18" s="99">
        <v>0</v>
      </c>
      <c r="H18" s="99"/>
      <c r="I18" s="99" t="s">
        <v>375</v>
      </c>
    </row>
    <row r="19">
      <c r="B19" s="99" t="s">
        <v>19</v>
      </c>
      <c r="C19" s="99" t="s">
        <v>64</v>
      </c>
      <c r="D19" s="108" t="s">
        <v>343</v>
      </c>
      <c r="E19" s="99" t="s">
        <v>376</v>
      </c>
      <c r="F19" s="99" t="s">
        <v>371</v>
      </c>
      <c r="G19" s="99">
        <v>16</v>
      </c>
      <c r="H19" s="99" t="s">
        <v>377</v>
      </c>
      <c r="I19" s="99" t="s">
        <v>378</v>
      </c>
    </row>
    <row r="20">
      <c r="B20" s="99" t="s">
        <v>20</v>
      </c>
      <c r="C20" s="99" t="s">
        <v>60</v>
      </c>
      <c r="D20" s="108" t="s">
        <v>343</v>
      </c>
      <c r="E20" s="99" t="s">
        <v>379</v>
      </c>
      <c r="F20" s="99" t="s">
        <v>349</v>
      </c>
      <c r="G20" s="99">
        <v>11</v>
      </c>
      <c r="H20" s="99" t="s">
        <v>380</v>
      </c>
      <c r="I20" s="99" t="s">
        <v>381</v>
      </c>
    </row>
    <row r="21">
      <c r="B21" s="99" t="s">
        <v>20</v>
      </c>
      <c r="C21" s="99" t="s">
        <v>61</v>
      </c>
      <c r="D21" s="108" t="s">
        <v>343</v>
      </c>
      <c r="E21" s="99" t="s">
        <v>382</v>
      </c>
      <c r="F21" s="99" t="s">
        <v>371</v>
      </c>
      <c r="G21" s="99">
        <v>21</v>
      </c>
      <c r="H21" s="99" t="s">
        <v>383</v>
      </c>
      <c r="I21" s="99" t="s">
        <v>384</v>
      </c>
    </row>
    <row r="22">
      <c r="B22" s="99" t="s">
        <v>20</v>
      </c>
      <c r="C22" s="99" t="s">
        <v>62</v>
      </c>
      <c r="D22" s="109" t="s">
        <v>352</v>
      </c>
      <c r="E22" s="99" t="s">
        <v>353</v>
      </c>
      <c r="F22" s="99" t="s">
        <v>371</v>
      </c>
      <c r="G22" s="99">
        <v>0</v>
      </c>
      <c r="H22" s="99"/>
      <c r="I22" s="99" t="s">
        <v>385</v>
      </c>
    </row>
    <row r="23">
      <c r="B23" s="99" t="s">
        <v>20</v>
      </c>
      <c r="C23" s="99" t="s">
        <v>63</v>
      </c>
      <c r="D23" s="109" t="s">
        <v>352</v>
      </c>
      <c r="E23" s="99" t="s">
        <v>353</v>
      </c>
      <c r="F23" s="99" t="s">
        <v>371</v>
      </c>
      <c r="G23" s="99">
        <v>0</v>
      </c>
      <c r="H23" s="99"/>
      <c r="I23" s="99" t="s">
        <v>386</v>
      </c>
    </row>
    <row r="24">
      <c r="B24" s="99" t="s">
        <v>21</v>
      </c>
      <c r="C24" s="99" t="s">
        <v>60</v>
      </c>
      <c r="D24" s="108" t="s">
        <v>343</v>
      </c>
      <c r="E24" s="99" t="s">
        <v>387</v>
      </c>
      <c r="F24" s="99" t="s">
        <v>349</v>
      </c>
      <c r="G24" s="99">
        <v>8</v>
      </c>
      <c r="H24" s="99" t="s">
        <v>388</v>
      </c>
      <c r="I24" s="99" t="s">
        <v>389</v>
      </c>
    </row>
    <row r="25">
      <c r="B25" s="99" t="s">
        <v>21</v>
      </c>
      <c r="C25" s="99" t="s">
        <v>61</v>
      </c>
      <c r="D25" s="108" t="s">
        <v>343</v>
      </c>
      <c r="E25" s="99" t="s">
        <v>390</v>
      </c>
      <c r="F25" s="99" t="s">
        <v>349</v>
      </c>
      <c r="G25" s="99">
        <v>8</v>
      </c>
      <c r="H25" s="99" t="s">
        <v>391</v>
      </c>
      <c r="I25" s="99" t="s">
        <v>392</v>
      </c>
    </row>
    <row r="26">
      <c r="B26" s="99" t="s">
        <v>21</v>
      </c>
      <c r="C26" s="99" t="s">
        <v>62</v>
      </c>
      <c r="D26" s="108" t="s">
        <v>343</v>
      </c>
      <c r="E26" s="99" t="s">
        <v>393</v>
      </c>
      <c r="F26" s="99" t="s">
        <v>349</v>
      </c>
      <c r="G26" s="99">
        <v>8</v>
      </c>
      <c r="H26" s="99" t="s">
        <v>394</v>
      </c>
      <c r="I26" s="99" t="s">
        <v>395</v>
      </c>
    </row>
    <row r="27">
      <c r="B27" s="99" t="s">
        <v>21</v>
      </c>
      <c r="C27" s="99" t="s">
        <v>63</v>
      </c>
      <c r="D27" s="108" t="s">
        <v>343</v>
      </c>
      <c r="E27" s="99" t="s">
        <v>396</v>
      </c>
      <c r="F27" s="99" t="s">
        <v>349</v>
      </c>
      <c r="G27" s="99">
        <v>8</v>
      </c>
      <c r="H27" s="99" t="s">
        <v>397</v>
      </c>
      <c r="I27" s="99" t="s">
        <v>398</v>
      </c>
    </row>
    <row r="28">
      <c r="B28" s="99" t="s">
        <v>21</v>
      </c>
      <c r="C28" s="99" t="s">
        <v>64</v>
      </c>
      <c r="D28" s="108" t="s">
        <v>343</v>
      </c>
      <c r="E28" s="99" t="s">
        <v>399</v>
      </c>
      <c r="F28" s="99" t="s">
        <v>371</v>
      </c>
      <c r="G28" s="99">
        <v>16</v>
      </c>
      <c r="H28" s="99" t="s">
        <v>400</v>
      </c>
      <c r="I28" s="99" t="s">
        <v>401</v>
      </c>
    </row>
    <row r="29">
      <c r="B29" s="99" t="s">
        <v>21</v>
      </c>
      <c r="C29" s="99" t="s">
        <v>330</v>
      </c>
      <c r="D29" s="108" t="s">
        <v>343</v>
      </c>
      <c r="E29" s="99" t="s">
        <v>402</v>
      </c>
      <c r="F29" s="99" t="s">
        <v>371</v>
      </c>
      <c r="G29" s="99">
        <v>8</v>
      </c>
      <c r="H29" s="99" t="s">
        <v>403</v>
      </c>
      <c r="I29" s="99" t="s">
        <v>404</v>
      </c>
    </row>
    <row r="30">
      <c r="B30" s="99" t="s">
        <v>22</v>
      </c>
      <c r="C30" s="99" t="s">
        <v>117</v>
      </c>
      <c r="D30" s="110" t="s">
        <v>362</v>
      </c>
      <c r="E30" s="99"/>
      <c r="F30" s="99" t="s">
        <v>363</v>
      </c>
      <c r="G30" s="99">
        <v>0</v>
      </c>
      <c r="H30" s="99"/>
      <c r="I30" s="99" t="s">
        <v>405</v>
      </c>
    </row>
    <row r="31">
      <c r="B31" s="99" t="s">
        <v>22</v>
      </c>
      <c r="C31" s="99" t="s">
        <v>118</v>
      </c>
      <c r="D31" s="110" t="s">
        <v>406</v>
      </c>
      <c r="E31" s="99"/>
      <c r="F31" s="99"/>
      <c r="G31" s="99">
        <v>0</v>
      </c>
      <c r="H31" s="99"/>
      <c r="I31" s="99" t="s">
        <v>407</v>
      </c>
    </row>
    <row r="32">
      <c r="B32" s="99" t="s">
        <v>22</v>
      </c>
      <c r="C32" s="99" t="s">
        <v>119</v>
      </c>
      <c r="D32" s="110" t="s">
        <v>406</v>
      </c>
      <c r="E32" s="99"/>
      <c r="F32" s="99"/>
      <c r="G32" s="99">
        <v>0</v>
      </c>
      <c r="H32" s="99"/>
      <c r="I32" s="99" t="s">
        <v>407</v>
      </c>
    </row>
    <row r="33">
      <c r="B33" s="99" t="s">
        <v>22</v>
      </c>
      <c r="C33" s="99" t="s">
        <v>120</v>
      </c>
      <c r="D33" s="110" t="s">
        <v>406</v>
      </c>
      <c r="E33" s="99"/>
      <c r="F33" s="99"/>
      <c r="G33" s="99">
        <v>0</v>
      </c>
      <c r="H33" s="99"/>
      <c r="I33" s="99" t="s">
        <v>407</v>
      </c>
    </row>
    <row r="34">
      <c r="B34" s="99" t="s">
        <v>408</v>
      </c>
      <c r="C34" s="99" t="s">
        <v>60</v>
      </c>
      <c r="D34" s="108" t="s">
        <v>343</v>
      </c>
      <c r="E34" s="99" t="s">
        <v>409</v>
      </c>
      <c r="F34" s="99" t="s">
        <v>371</v>
      </c>
      <c r="G34" s="99">
        <v>9</v>
      </c>
      <c r="H34" s="99" t="s">
        <v>410</v>
      </c>
      <c r="I34" s="99" t="s">
        <v>411</v>
      </c>
    </row>
    <row r="35">
      <c r="B35" s="99" t="s">
        <v>408</v>
      </c>
      <c r="C35" s="99" t="s">
        <v>61</v>
      </c>
      <c r="D35" s="108" t="s">
        <v>343</v>
      </c>
      <c r="E35" s="99" t="s">
        <v>412</v>
      </c>
      <c r="F35" s="99" t="s">
        <v>371</v>
      </c>
      <c r="G35" s="99">
        <v>9</v>
      </c>
      <c r="H35" s="99" t="s">
        <v>413</v>
      </c>
      <c r="I35" s="99" t="s">
        <v>414</v>
      </c>
    </row>
    <row r="36">
      <c r="B36" s="99" t="s">
        <v>408</v>
      </c>
      <c r="C36" s="99" t="s">
        <v>62</v>
      </c>
      <c r="D36" s="108" t="s">
        <v>343</v>
      </c>
      <c r="E36" s="99" t="s">
        <v>415</v>
      </c>
      <c r="F36" s="99" t="s">
        <v>371</v>
      </c>
      <c r="G36" s="99">
        <v>9</v>
      </c>
      <c r="H36" s="99" t="s">
        <v>416</v>
      </c>
      <c r="I36" s="99" t="s">
        <v>417</v>
      </c>
    </row>
    <row r="37">
      <c r="B37" s="99" t="s">
        <v>408</v>
      </c>
      <c r="C37" s="99" t="s">
        <v>63</v>
      </c>
      <c r="D37" s="108" t="s">
        <v>343</v>
      </c>
      <c r="E37" s="99" t="s">
        <v>418</v>
      </c>
      <c r="F37" s="99" t="s">
        <v>371</v>
      </c>
      <c r="G37" s="99">
        <v>9</v>
      </c>
      <c r="H37" s="99" t="s">
        <v>419</v>
      </c>
      <c r="I37" s="99" t="s">
        <v>420</v>
      </c>
    </row>
    <row r="38">
      <c r="B38" s="99" t="s">
        <v>408</v>
      </c>
      <c r="C38" s="99" t="s">
        <v>64</v>
      </c>
      <c r="D38" s="108" t="s">
        <v>343</v>
      </c>
      <c r="E38" s="99" t="s">
        <v>421</v>
      </c>
      <c r="F38" s="99" t="s">
        <v>367</v>
      </c>
      <c r="G38" s="99">
        <v>17</v>
      </c>
      <c r="H38" s="99" t="s">
        <v>422</v>
      </c>
      <c r="I38" s="99" t="s">
        <v>423</v>
      </c>
    </row>
    <row r="39">
      <c r="B39" s="99" t="s">
        <v>408</v>
      </c>
      <c r="C39" s="99" t="s">
        <v>330</v>
      </c>
      <c r="D39" s="108" t="s">
        <v>343</v>
      </c>
      <c r="E39" s="99" t="s">
        <v>424</v>
      </c>
      <c r="F39" s="99" t="s">
        <v>371</v>
      </c>
      <c r="G39" s="99">
        <v>18</v>
      </c>
      <c r="H39" s="99" t="s">
        <v>425</v>
      </c>
      <c r="I39" s="99" t="s">
        <v>426</v>
      </c>
    </row>
    <row r="42">
      <c r="B42" s="95" t="s">
        <v>427</v>
      </c>
    </row>
    <row r="43">
      <c r="B43" s="98" t="s">
        <v>35</v>
      </c>
      <c r="C43" s="98" t="s">
        <v>336</v>
      </c>
      <c r="D43" s="98" t="s">
        <v>59</v>
      </c>
      <c r="E43" s="98" t="s">
        <v>428</v>
      </c>
      <c r="F43" s="98" t="s">
        <v>429</v>
      </c>
      <c r="G43" s="98" t="s">
        <v>430</v>
      </c>
      <c r="H43" s="98" t="s">
        <v>431</v>
      </c>
      <c r="I43" s="98" t="s">
        <v>284</v>
      </c>
    </row>
    <row r="44">
      <c r="B44" s="99" t="s">
        <v>17</v>
      </c>
      <c r="C44" s="99" t="s">
        <v>60</v>
      </c>
      <c r="D44" s="99" t="s">
        <v>432</v>
      </c>
      <c r="E44" s="99" t="s">
        <v>433</v>
      </c>
      <c r="F44" s="104">
        <v>0.0359405466187235</v>
      </c>
      <c r="G44" s="104">
        <v>0.033553171192</v>
      </c>
      <c r="H44" s="99" t="s">
        <v>434</v>
      </c>
      <c r="I44" s="99" t="s">
        <v>344</v>
      </c>
    </row>
    <row r="45">
      <c r="B45" s="99" t="s">
        <v>17</v>
      </c>
      <c r="C45" s="99" t="s">
        <v>60</v>
      </c>
      <c r="D45" s="99" t="s">
        <v>435</v>
      </c>
      <c r="E45" s="99" t="s">
        <v>436</v>
      </c>
      <c r="F45" s="104">
        <v>0.0467650297498288</v>
      </c>
      <c r="G45" s="104">
        <v>0.045411926081</v>
      </c>
      <c r="H45" s="99" t="s">
        <v>434</v>
      </c>
      <c r="I45" s="99" t="s">
        <v>344</v>
      </c>
    </row>
    <row r="46">
      <c r="B46" s="99" t="s">
        <v>17</v>
      </c>
      <c r="C46" s="99" t="s">
        <v>60</v>
      </c>
      <c r="D46" s="99" t="s">
        <v>437</v>
      </c>
      <c r="E46" s="99" t="s">
        <v>438</v>
      </c>
      <c r="F46" s="104">
        <v>0.0412684990817076</v>
      </c>
      <c r="G46" s="104">
        <v>0.040359053791</v>
      </c>
      <c r="H46" s="99" t="s">
        <v>434</v>
      </c>
      <c r="I46" s="99" t="s">
        <v>344</v>
      </c>
    </row>
    <row r="47">
      <c r="B47" s="99" t="s">
        <v>17</v>
      </c>
      <c r="C47" s="99" t="s">
        <v>60</v>
      </c>
      <c r="D47" s="99" t="s">
        <v>439</v>
      </c>
      <c r="E47" s="99" t="s">
        <v>440</v>
      </c>
      <c r="F47" s="104">
        <v>0.0311694168653502</v>
      </c>
      <c r="G47" s="104">
        <v>0.030652912809</v>
      </c>
      <c r="H47" s="99" t="s">
        <v>434</v>
      </c>
      <c r="I47" s="99" t="s">
        <v>344</v>
      </c>
    </row>
    <row r="48">
      <c r="B48" s="99" t="s">
        <v>17</v>
      </c>
      <c r="C48" s="99" t="s">
        <v>60</v>
      </c>
      <c r="D48" s="99" t="s">
        <v>441</v>
      </c>
      <c r="E48" s="99" t="s">
        <v>442</v>
      </c>
      <c r="F48" s="104">
        <v>0.0374863592977681</v>
      </c>
      <c r="G48" s="104">
        <v>0.036959402721</v>
      </c>
      <c r="H48" s="99" t="s">
        <v>434</v>
      </c>
      <c r="I48" s="99" t="s">
        <v>344</v>
      </c>
    </row>
    <row r="49">
      <c r="B49" s="99" t="s">
        <v>17</v>
      </c>
      <c r="C49" s="99" t="s">
        <v>60</v>
      </c>
      <c r="D49" s="99" t="s">
        <v>443</v>
      </c>
      <c r="E49" s="99" t="s">
        <v>444</v>
      </c>
      <c r="F49" s="104">
        <v>0.0157333743837707</v>
      </c>
      <c r="G49" s="104">
        <v>0.014467181659</v>
      </c>
      <c r="H49" s="99" t="s">
        <v>434</v>
      </c>
      <c r="I49" s="99" t="s">
        <v>344</v>
      </c>
    </row>
    <row r="50">
      <c r="B50" s="99" t="s">
        <v>17</v>
      </c>
      <c r="C50" s="99" t="s">
        <v>60</v>
      </c>
      <c r="D50" s="99" t="s">
        <v>445</v>
      </c>
      <c r="E50" s="99" t="s">
        <v>446</v>
      </c>
      <c r="F50" s="104">
        <v>0.0152217332818978</v>
      </c>
      <c r="G50" s="104">
        <v>0.015209186514</v>
      </c>
      <c r="H50" s="99" t="s">
        <v>434</v>
      </c>
      <c r="I50" s="99" t="s">
        <v>344</v>
      </c>
    </row>
    <row r="51">
      <c r="B51" s="99" t="s">
        <v>17</v>
      </c>
      <c r="C51" s="99" t="s">
        <v>60</v>
      </c>
      <c r="D51" s="99" t="s">
        <v>447</v>
      </c>
      <c r="E51" s="99" t="s">
        <v>448</v>
      </c>
      <c r="F51" s="104">
        <v>0.00374588923697017</v>
      </c>
      <c r="G51" s="104">
        <v>0.002888355213</v>
      </c>
      <c r="H51" s="99" t="s">
        <v>434</v>
      </c>
      <c r="I51" s="99" t="s">
        <v>344</v>
      </c>
    </row>
    <row r="52">
      <c r="B52" s="99" t="s">
        <v>17</v>
      </c>
      <c r="C52" s="99" t="s">
        <v>60</v>
      </c>
      <c r="D52" s="99" t="s">
        <v>449</v>
      </c>
      <c r="E52" s="99" t="s">
        <v>450</v>
      </c>
      <c r="F52" s="104">
        <v>0.0227646644466257</v>
      </c>
      <c r="G52" s="104">
        <v>0.022422198465</v>
      </c>
      <c r="H52" s="99" t="s">
        <v>434</v>
      </c>
      <c r="I52" s="99" t="s">
        <v>344</v>
      </c>
    </row>
    <row r="53">
      <c r="B53" s="99" t="s">
        <v>17</v>
      </c>
      <c r="C53" s="99" t="s">
        <v>60</v>
      </c>
      <c r="D53" s="99" t="s">
        <v>451</v>
      </c>
      <c r="E53" s="99" t="s">
        <v>452</v>
      </c>
      <c r="F53" s="104">
        <v>0.00870969561389234</v>
      </c>
      <c r="G53" s="104">
        <v>0.008224946173</v>
      </c>
      <c r="H53" s="99" t="s">
        <v>434</v>
      </c>
      <c r="I53" s="99" t="s">
        <v>344</v>
      </c>
    </row>
    <row r="54">
      <c r="B54" s="99" t="s">
        <v>17</v>
      </c>
      <c r="C54" s="99" t="s">
        <v>60</v>
      </c>
      <c r="D54" s="99" t="s">
        <v>453</v>
      </c>
      <c r="E54" s="99" t="s">
        <v>454</v>
      </c>
      <c r="F54" s="104">
        <v>0.0109791532651673</v>
      </c>
      <c r="G54" s="104">
        <v>0.010512757</v>
      </c>
      <c r="H54" s="99" t="s">
        <v>434</v>
      </c>
      <c r="I54" s="99" t="s">
        <v>344</v>
      </c>
    </row>
    <row r="55">
      <c r="B55" s="99" t="s">
        <v>17</v>
      </c>
      <c r="C55" s="99" t="s">
        <v>60</v>
      </c>
      <c r="D55" s="99" t="s">
        <v>455</v>
      </c>
      <c r="E55" s="99" t="s">
        <v>456</v>
      </c>
      <c r="F55" s="104">
        <v>0.0307032622822219</v>
      </c>
      <c r="G55" s="104">
        <v>0.029058687954</v>
      </c>
      <c r="H55" s="99" t="s">
        <v>434</v>
      </c>
      <c r="I55" s="99" t="s">
        <v>344</v>
      </c>
    </row>
    <row r="56">
      <c r="B56" s="99" t="s">
        <v>17</v>
      </c>
      <c r="C56" s="99" t="s">
        <v>60</v>
      </c>
      <c r="D56" s="99" t="s">
        <v>457</v>
      </c>
      <c r="E56" s="99" t="s">
        <v>458</v>
      </c>
      <c r="F56" s="104">
        <v>0.0107053999831632</v>
      </c>
      <c r="G56" s="104">
        <v>0.011251972026</v>
      </c>
      <c r="H56" s="99" t="s">
        <v>434</v>
      </c>
      <c r="I56" s="99" t="s">
        <v>344</v>
      </c>
    </row>
    <row r="57">
      <c r="B57" s="99" t="s">
        <v>17</v>
      </c>
      <c r="C57" s="99" t="s">
        <v>60</v>
      </c>
      <c r="D57" s="99" t="s">
        <v>459</v>
      </c>
      <c r="E57" s="99" t="s">
        <v>460</v>
      </c>
      <c r="F57" s="104">
        <v>-0.00265639842647247</v>
      </c>
      <c r="G57" s="104">
        <v>-0.000278395602</v>
      </c>
      <c r="H57" s="99" t="s">
        <v>434</v>
      </c>
      <c r="I57" s="99" t="s">
        <v>344</v>
      </c>
    </row>
    <row r="58">
      <c r="B58" s="99" t="s">
        <v>17</v>
      </c>
      <c r="C58" s="99" t="s">
        <v>60</v>
      </c>
      <c r="D58" s="99" t="s">
        <v>363</v>
      </c>
      <c r="E58" s="99" t="s">
        <v>461</v>
      </c>
      <c r="F58" s="104"/>
      <c r="G58" s="104">
        <v>0.035286822157</v>
      </c>
      <c r="H58" s="99" t="s">
        <v>462</v>
      </c>
      <c r="I58" s="99" t="s">
        <v>344</v>
      </c>
    </row>
    <row r="59">
      <c r="B59" s="99" t="s">
        <v>17</v>
      </c>
      <c r="C59" s="99" t="s">
        <v>60</v>
      </c>
      <c r="D59" s="99" t="s">
        <v>463</v>
      </c>
      <c r="E59" s="99" t="s">
        <v>464</v>
      </c>
      <c r="F59" s="104"/>
      <c r="G59" s="104">
        <v>0.012360352238</v>
      </c>
      <c r="H59" s="99" t="s">
        <v>462</v>
      </c>
      <c r="I59" s="99" t="s">
        <v>344</v>
      </c>
    </row>
    <row r="60">
      <c r="B60" s="99" t="s">
        <v>17</v>
      </c>
      <c r="C60" s="99" t="s">
        <v>60</v>
      </c>
      <c r="D60" s="99" t="s">
        <v>465</v>
      </c>
      <c r="E60" s="99" t="s">
        <v>466</v>
      </c>
      <c r="F60" s="104"/>
      <c r="G60" s="104">
        <v>0.009877301354</v>
      </c>
      <c r="H60" s="99" t="s">
        <v>462</v>
      </c>
      <c r="I60" s="99" t="s">
        <v>344</v>
      </c>
    </row>
    <row r="61">
      <c r="B61" s="99" t="s">
        <v>17</v>
      </c>
      <c r="C61" s="99" t="s">
        <v>60</v>
      </c>
      <c r="D61" s="99" t="s">
        <v>467</v>
      </c>
      <c r="E61" s="99" t="s">
        <v>468</v>
      </c>
      <c r="F61" s="104"/>
      <c r="G61" s="104">
        <v>0.02361572927</v>
      </c>
      <c r="H61" s="99" t="s">
        <v>462</v>
      </c>
      <c r="I61" s="99" t="s">
        <v>344</v>
      </c>
    </row>
    <row r="62">
      <c r="B62" s="99" t="s">
        <v>17</v>
      </c>
      <c r="C62" s="99" t="s">
        <v>60</v>
      </c>
      <c r="D62" s="99" t="s">
        <v>345</v>
      </c>
      <c r="E62" s="99" t="s">
        <v>469</v>
      </c>
      <c r="F62" s="104"/>
      <c r="G62" s="104">
        <v>0.01061552801</v>
      </c>
      <c r="H62" s="99" t="s">
        <v>462</v>
      </c>
      <c r="I62" s="99" t="s">
        <v>344</v>
      </c>
    </row>
    <row r="63">
      <c r="B63" s="99" t="s">
        <v>17</v>
      </c>
      <c r="C63" s="99" t="s">
        <v>61</v>
      </c>
      <c r="D63" s="99" t="s">
        <v>470</v>
      </c>
      <c r="E63" s="99" t="s">
        <v>471</v>
      </c>
      <c r="F63" s="104">
        <v>0.0374496160987815</v>
      </c>
      <c r="G63" s="104">
        <v>0.037</v>
      </c>
      <c r="H63" s="99" t="s">
        <v>434</v>
      </c>
      <c r="I63" s="99" t="s">
        <v>348</v>
      </c>
    </row>
    <row r="64">
      <c r="B64" s="99" t="s">
        <v>17</v>
      </c>
      <c r="C64" s="99" t="s">
        <v>61</v>
      </c>
      <c r="D64" s="99" t="s">
        <v>472</v>
      </c>
      <c r="E64" s="99" t="s">
        <v>473</v>
      </c>
      <c r="F64" s="104">
        <v>0.058365278260983595</v>
      </c>
      <c r="G64" s="104">
        <v>0.058</v>
      </c>
      <c r="H64" s="99" t="s">
        <v>434</v>
      </c>
      <c r="I64" s="99" t="s">
        <v>348</v>
      </c>
    </row>
    <row r="65">
      <c r="B65" s="99" t="s">
        <v>17</v>
      </c>
      <c r="C65" s="99" t="s">
        <v>61</v>
      </c>
      <c r="D65" s="99" t="s">
        <v>474</v>
      </c>
      <c r="E65" s="99" t="s">
        <v>475</v>
      </c>
      <c r="F65" s="104">
        <v>0.0118465996577537</v>
      </c>
      <c r="G65" s="104">
        <v>0.012</v>
      </c>
      <c r="H65" s="99" t="s">
        <v>434</v>
      </c>
      <c r="I65" s="99" t="s">
        <v>348</v>
      </c>
    </row>
    <row r="66">
      <c r="B66" s="99" t="s">
        <v>17</v>
      </c>
      <c r="C66" s="99" t="s">
        <v>61</v>
      </c>
      <c r="D66" s="99" t="s">
        <v>476</v>
      </c>
      <c r="E66" s="99" t="s">
        <v>477</v>
      </c>
      <c r="F66" s="104">
        <v>0.0389547662932029</v>
      </c>
      <c r="G66" s="104">
        <v>0.039</v>
      </c>
      <c r="H66" s="99" t="s">
        <v>434</v>
      </c>
      <c r="I66" s="99" t="s">
        <v>348</v>
      </c>
    </row>
    <row r="67">
      <c r="B67" s="99" t="s">
        <v>17</v>
      </c>
      <c r="C67" s="99" t="s">
        <v>61</v>
      </c>
      <c r="D67" s="99" t="s">
        <v>478</v>
      </c>
      <c r="E67" s="99" t="s">
        <v>479</v>
      </c>
      <c r="F67" s="104">
        <v>0.0032789354512444</v>
      </c>
      <c r="G67" s="104">
        <v>0.003</v>
      </c>
      <c r="H67" s="99" t="s">
        <v>434</v>
      </c>
      <c r="I67" s="99" t="s">
        <v>348</v>
      </c>
    </row>
    <row r="68">
      <c r="B68" s="99" t="s">
        <v>17</v>
      </c>
      <c r="C68" s="99" t="s">
        <v>61</v>
      </c>
      <c r="D68" s="99" t="s">
        <v>480</v>
      </c>
      <c r="E68" s="99" t="s">
        <v>481</v>
      </c>
      <c r="F68" s="104">
        <v>-0.00712954041262</v>
      </c>
      <c r="G68" s="104">
        <v>-0.007</v>
      </c>
      <c r="H68" s="99" t="s">
        <v>434</v>
      </c>
      <c r="I68" s="99" t="s">
        <v>348</v>
      </c>
    </row>
    <row r="69">
      <c r="B69" s="99" t="s">
        <v>17</v>
      </c>
      <c r="C69" s="99" t="s">
        <v>61</v>
      </c>
      <c r="D69" s="99" t="s">
        <v>482</v>
      </c>
      <c r="E69" s="99" t="s">
        <v>483</v>
      </c>
      <c r="F69" s="104">
        <v>0.0449149443095122</v>
      </c>
      <c r="G69" s="104">
        <v>0.045</v>
      </c>
      <c r="H69" s="99" t="s">
        <v>434</v>
      </c>
      <c r="I69" s="99" t="s">
        <v>348</v>
      </c>
    </row>
    <row r="70">
      <c r="B70" s="99" t="s">
        <v>17</v>
      </c>
      <c r="C70" s="99" t="s">
        <v>61</v>
      </c>
      <c r="D70" s="99" t="s">
        <v>484</v>
      </c>
      <c r="E70" s="99" t="s">
        <v>485</v>
      </c>
      <c r="F70" s="104">
        <v>0.022341186703802796</v>
      </c>
      <c r="G70" s="104">
        <v>0.022</v>
      </c>
      <c r="H70" s="99" t="s">
        <v>434</v>
      </c>
      <c r="I70" s="99" t="s">
        <v>348</v>
      </c>
    </row>
    <row r="71">
      <c r="B71" s="99" t="s">
        <v>17</v>
      </c>
      <c r="C71" s="99" t="s">
        <v>61</v>
      </c>
      <c r="D71" s="99" t="s">
        <v>486</v>
      </c>
      <c r="E71" s="99" t="s">
        <v>487</v>
      </c>
      <c r="F71" s="104">
        <v>0.0050889256205457</v>
      </c>
      <c r="G71" s="104">
        <v>0.005</v>
      </c>
      <c r="H71" s="99" t="s">
        <v>434</v>
      </c>
      <c r="I71" s="99" t="s">
        <v>348</v>
      </c>
    </row>
    <row r="72">
      <c r="B72" s="99" t="s">
        <v>17</v>
      </c>
      <c r="C72" s="99" t="s">
        <v>61</v>
      </c>
      <c r="D72" s="99" t="s">
        <v>488</v>
      </c>
      <c r="E72" s="99" t="s">
        <v>489</v>
      </c>
      <c r="F72" s="104">
        <v>0.0289391985531901</v>
      </c>
      <c r="G72" s="104">
        <v>0.029</v>
      </c>
      <c r="H72" s="99" t="s">
        <v>434</v>
      </c>
      <c r="I72" s="99" t="s">
        <v>348</v>
      </c>
    </row>
    <row r="73">
      <c r="B73" s="99" t="s">
        <v>17</v>
      </c>
      <c r="C73" s="99" t="s">
        <v>61</v>
      </c>
      <c r="D73" s="99" t="s">
        <v>490</v>
      </c>
      <c r="E73" s="99" t="s">
        <v>491</v>
      </c>
      <c r="F73" s="104">
        <v>0.0243124085635009</v>
      </c>
      <c r="G73" s="104">
        <v>0.024</v>
      </c>
      <c r="H73" s="99" t="s">
        <v>434</v>
      </c>
      <c r="I73" s="99" t="s">
        <v>348</v>
      </c>
    </row>
    <row r="74">
      <c r="B74" s="99" t="s">
        <v>17</v>
      </c>
      <c r="C74" s="99" t="s">
        <v>61</v>
      </c>
      <c r="D74" s="99" t="s">
        <v>492</v>
      </c>
      <c r="E74" s="99" t="s">
        <v>493</v>
      </c>
      <c r="F74" s="104">
        <v>0.0679004142723989</v>
      </c>
      <c r="G74" s="104">
        <v>0.068</v>
      </c>
      <c r="H74" s="99" t="s">
        <v>434</v>
      </c>
      <c r="I74" s="99" t="s">
        <v>348</v>
      </c>
    </row>
    <row r="75">
      <c r="B75" s="99" t="s">
        <v>17</v>
      </c>
      <c r="C75" s="99" t="s">
        <v>61</v>
      </c>
      <c r="D75" s="99" t="s">
        <v>432</v>
      </c>
      <c r="E75" s="99" t="s">
        <v>494</v>
      </c>
      <c r="F75" s="104">
        <v>0.0332774515709554</v>
      </c>
      <c r="G75" s="104">
        <v>0.033</v>
      </c>
      <c r="H75" s="99" t="s">
        <v>434</v>
      </c>
      <c r="I75" s="99" t="s">
        <v>348</v>
      </c>
    </row>
    <row r="76">
      <c r="B76" s="99" t="s">
        <v>17</v>
      </c>
      <c r="C76" s="99" t="s">
        <v>61</v>
      </c>
      <c r="D76" s="99" t="s">
        <v>435</v>
      </c>
      <c r="E76" s="99" t="s">
        <v>495</v>
      </c>
      <c r="F76" s="104">
        <v>0.0031195371691688</v>
      </c>
      <c r="G76" s="104">
        <v>0.003</v>
      </c>
      <c r="H76" s="99" t="s">
        <v>434</v>
      </c>
      <c r="I76" s="99" t="s">
        <v>348</v>
      </c>
    </row>
    <row r="77">
      <c r="B77" s="99" t="s">
        <v>17</v>
      </c>
      <c r="C77" s="99" t="s">
        <v>61</v>
      </c>
      <c r="D77" s="99" t="s">
        <v>437</v>
      </c>
      <c r="E77" s="99" t="s">
        <v>496</v>
      </c>
      <c r="F77" s="104">
        <v>0.049278836062191</v>
      </c>
      <c r="G77" s="104">
        <v>0.049</v>
      </c>
      <c r="H77" s="99" t="s">
        <v>434</v>
      </c>
      <c r="I77" s="99" t="s">
        <v>348</v>
      </c>
    </row>
    <row r="78">
      <c r="B78" s="99" t="s">
        <v>17</v>
      </c>
      <c r="C78" s="99" t="s">
        <v>61</v>
      </c>
      <c r="D78" s="99" t="s">
        <v>439</v>
      </c>
      <c r="E78" s="99" t="s">
        <v>497</v>
      </c>
      <c r="F78" s="104">
        <v>0.038776905480207804</v>
      </c>
      <c r="G78" s="104">
        <v>0.039</v>
      </c>
      <c r="H78" s="99" t="s">
        <v>434</v>
      </c>
      <c r="I78" s="99" t="s">
        <v>348</v>
      </c>
    </row>
    <row r="79">
      <c r="B79" s="99" t="s">
        <v>17</v>
      </c>
      <c r="C79" s="99" t="s">
        <v>61</v>
      </c>
      <c r="D79" s="99" t="s">
        <v>441</v>
      </c>
      <c r="E79" s="99" t="s">
        <v>498</v>
      </c>
      <c r="F79" s="104">
        <v>0.039330468127213296</v>
      </c>
      <c r="G79" s="104">
        <v>0.039</v>
      </c>
      <c r="H79" s="99" t="s">
        <v>434</v>
      </c>
      <c r="I79" s="99" t="s">
        <v>348</v>
      </c>
    </row>
    <row r="80">
      <c r="B80" s="99" t="s">
        <v>17</v>
      </c>
      <c r="C80" s="99" t="s">
        <v>61</v>
      </c>
      <c r="D80" s="99" t="s">
        <v>443</v>
      </c>
      <c r="E80" s="99" t="s">
        <v>499</v>
      </c>
      <c r="F80" s="104">
        <v>0.033756014789805</v>
      </c>
      <c r="G80" s="104">
        <v>0.034</v>
      </c>
      <c r="H80" s="99" t="s">
        <v>434</v>
      </c>
      <c r="I80" s="99" t="s">
        <v>348</v>
      </c>
    </row>
    <row r="81">
      <c r="B81" s="99" t="s">
        <v>17</v>
      </c>
      <c r="C81" s="99" t="s">
        <v>61</v>
      </c>
      <c r="D81" s="99" t="s">
        <v>445</v>
      </c>
      <c r="E81" s="99" t="s">
        <v>500</v>
      </c>
      <c r="F81" s="104">
        <v>0.0159685010754052</v>
      </c>
      <c r="G81" s="104">
        <v>0.016</v>
      </c>
      <c r="H81" s="99" t="s">
        <v>434</v>
      </c>
      <c r="I81" s="99" t="s">
        <v>348</v>
      </c>
    </row>
    <row r="82">
      <c r="B82" s="99" t="s">
        <v>17</v>
      </c>
      <c r="C82" s="99" t="s">
        <v>61</v>
      </c>
      <c r="D82" s="99" t="s">
        <v>447</v>
      </c>
      <c r="E82" s="99" t="s">
        <v>501</v>
      </c>
      <c r="F82" s="104">
        <v>0.0026960938318454</v>
      </c>
      <c r="G82" s="104">
        <v>0.003</v>
      </c>
      <c r="H82" s="99" t="s">
        <v>434</v>
      </c>
      <c r="I82" s="99" t="s">
        <v>348</v>
      </c>
    </row>
    <row r="83">
      <c r="B83" s="99" t="s">
        <v>17</v>
      </c>
      <c r="C83" s="99" t="s">
        <v>61</v>
      </c>
      <c r="D83" s="99" t="s">
        <v>449</v>
      </c>
      <c r="E83" s="99" t="s">
        <v>502</v>
      </c>
      <c r="F83" s="104">
        <v>0.0329612093398752</v>
      </c>
      <c r="G83" s="104">
        <v>0.033</v>
      </c>
      <c r="H83" s="99" t="s">
        <v>434</v>
      </c>
      <c r="I83" s="99" t="s">
        <v>348</v>
      </c>
    </row>
    <row r="84">
      <c r="B84" s="99" t="s">
        <v>17</v>
      </c>
      <c r="C84" s="99" t="s">
        <v>61</v>
      </c>
      <c r="D84" s="99" t="s">
        <v>451</v>
      </c>
      <c r="E84" s="99" t="s">
        <v>503</v>
      </c>
      <c r="F84" s="104">
        <v>0.0205726590068578</v>
      </c>
      <c r="G84" s="104">
        <v>0.021</v>
      </c>
      <c r="H84" s="99" t="s">
        <v>434</v>
      </c>
      <c r="I84" s="99" t="s">
        <v>348</v>
      </c>
    </row>
    <row r="85">
      <c r="B85" s="99" t="s">
        <v>17</v>
      </c>
      <c r="C85" s="99" t="s">
        <v>61</v>
      </c>
      <c r="D85" s="99" t="s">
        <v>453</v>
      </c>
      <c r="E85" s="99" t="s">
        <v>504</v>
      </c>
      <c r="F85" s="104">
        <v>0.0137119538609964</v>
      </c>
      <c r="G85" s="104">
        <v>0.014</v>
      </c>
      <c r="H85" s="99" t="s">
        <v>434</v>
      </c>
      <c r="I85" s="99" t="s">
        <v>348</v>
      </c>
    </row>
    <row r="86">
      <c r="B86" s="99" t="s">
        <v>17</v>
      </c>
      <c r="C86" s="99" t="s">
        <v>61</v>
      </c>
      <c r="D86" s="99" t="s">
        <v>455</v>
      </c>
      <c r="E86" s="99" t="s">
        <v>505</v>
      </c>
      <c r="F86" s="104">
        <v>0.012666989233433401</v>
      </c>
      <c r="G86" s="104">
        <v>0.013</v>
      </c>
      <c r="H86" s="99" t="s">
        <v>434</v>
      </c>
      <c r="I86" s="99" t="s">
        <v>348</v>
      </c>
    </row>
    <row r="87">
      <c r="B87" s="99" t="s">
        <v>17</v>
      </c>
      <c r="C87" s="99" t="s">
        <v>61</v>
      </c>
      <c r="D87" s="99" t="s">
        <v>457</v>
      </c>
      <c r="E87" s="99" t="s">
        <v>506</v>
      </c>
      <c r="F87" s="104">
        <v>-0.005463454419308999</v>
      </c>
      <c r="G87" s="104">
        <v>-0.009</v>
      </c>
      <c r="H87" s="99" t="s">
        <v>434</v>
      </c>
      <c r="I87" s="99" t="s">
        <v>348</v>
      </c>
    </row>
    <row r="88">
      <c r="B88" s="99" t="s">
        <v>17</v>
      </c>
      <c r="C88" s="99" t="s">
        <v>61</v>
      </c>
      <c r="D88" s="99" t="s">
        <v>459</v>
      </c>
      <c r="E88" s="99" t="s">
        <v>507</v>
      </c>
      <c r="F88" s="104">
        <v>-0.003414740306147</v>
      </c>
      <c r="G88" s="104">
        <v>-0.002</v>
      </c>
      <c r="H88" s="99" t="s">
        <v>434</v>
      </c>
      <c r="I88" s="99" t="s">
        <v>348</v>
      </c>
    </row>
    <row r="89">
      <c r="B89" s="99" t="s">
        <v>17</v>
      </c>
      <c r="C89" s="99" t="s">
        <v>61</v>
      </c>
      <c r="D89" s="99" t="s">
        <v>363</v>
      </c>
      <c r="E89" s="99" t="s">
        <v>508</v>
      </c>
      <c r="F89" s="104">
        <v>-0.001313158240734</v>
      </c>
      <c r="G89" s="104">
        <v>0.001</v>
      </c>
      <c r="H89" s="99" t="s">
        <v>434</v>
      </c>
      <c r="I89" s="99" t="s">
        <v>348</v>
      </c>
    </row>
    <row r="90">
      <c r="B90" s="99" t="s">
        <v>17</v>
      </c>
      <c r="C90" s="99" t="s">
        <v>61</v>
      </c>
      <c r="D90" s="99" t="s">
        <v>463</v>
      </c>
      <c r="E90" s="99" t="s">
        <v>509</v>
      </c>
      <c r="F90" s="104"/>
      <c r="G90" s="104">
        <v>-0.011</v>
      </c>
      <c r="H90" s="99" t="s">
        <v>462</v>
      </c>
      <c r="I90" s="99" t="s">
        <v>348</v>
      </c>
    </row>
    <row r="91">
      <c r="B91" s="99" t="s">
        <v>17</v>
      </c>
      <c r="C91" s="99" t="s">
        <v>61</v>
      </c>
      <c r="D91" s="99" t="s">
        <v>465</v>
      </c>
      <c r="E91" s="99" t="s">
        <v>510</v>
      </c>
      <c r="F91" s="104"/>
      <c r="G91" s="104">
        <v>-0.014</v>
      </c>
      <c r="H91" s="99" t="s">
        <v>462</v>
      </c>
      <c r="I91" s="99" t="s">
        <v>348</v>
      </c>
    </row>
    <row r="92">
      <c r="B92" s="99" t="s">
        <v>17</v>
      </c>
      <c r="C92" s="99" t="s">
        <v>61</v>
      </c>
      <c r="D92" s="99" t="s">
        <v>467</v>
      </c>
      <c r="E92" s="99" t="s">
        <v>511</v>
      </c>
      <c r="F92" s="104"/>
      <c r="G92" s="104">
        <v>0.02</v>
      </c>
      <c r="H92" s="99" t="s">
        <v>462</v>
      </c>
      <c r="I92" s="99" t="s">
        <v>348</v>
      </c>
    </row>
    <row r="93">
      <c r="B93" s="99" t="s">
        <v>17</v>
      </c>
      <c r="C93" s="99" t="s">
        <v>61</v>
      </c>
      <c r="D93" s="99" t="s">
        <v>345</v>
      </c>
      <c r="E93" s="99" t="s">
        <v>512</v>
      </c>
      <c r="F93" s="104"/>
      <c r="G93" s="104">
        <v>-0.015</v>
      </c>
      <c r="H93" s="99" t="s">
        <v>462</v>
      </c>
      <c r="I93" s="99" t="s">
        <v>348</v>
      </c>
    </row>
    <row r="94">
      <c r="B94" s="99" t="s">
        <v>17</v>
      </c>
      <c r="C94" s="99" t="s">
        <v>61</v>
      </c>
      <c r="D94" s="99" t="s">
        <v>349</v>
      </c>
      <c r="E94" s="99" t="s">
        <v>513</v>
      </c>
      <c r="F94" s="104"/>
      <c r="G94" s="104">
        <v>-0.01</v>
      </c>
      <c r="H94" s="99" t="s">
        <v>462</v>
      </c>
      <c r="I94" s="99" t="s">
        <v>348</v>
      </c>
    </row>
    <row r="95">
      <c r="B95" s="99" t="s">
        <v>17</v>
      </c>
      <c r="C95" s="99" t="s">
        <v>62</v>
      </c>
      <c r="D95" s="99" t="s">
        <v>457</v>
      </c>
      <c r="E95" s="99" t="s">
        <v>514</v>
      </c>
      <c r="F95" s="104">
        <v>0.014392579586485255</v>
      </c>
      <c r="G95" s="104">
        <v>0.0092</v>
      </c>
      <c r="H95" s="99" t="s">
        <v>434</v>
      </c>
      <c r="I95" s="99" t="s">
        <v>515</v>
      </c>
    </row>
    <row r="96">
      <c r="B96" s="99" t="s">
        <v>17</v>
      </c>
      <c r="C96" s="99" t="s">
        <v>62</v>
      </c>
      <c r="D96" s="99" t="s">
        <v>459</v>
      </c>
      <c r="E96" s="99" t="s">
        <v>516</v>
      </c>
      <c r="F96" s="104">
        <v>0.016489313598929273</v>
      </c>
      <c r="G96" s="104">
        <v>0.013</v>
      </c>
      <c r="H96" s="99" t="s">
        <v>434</v>
      </c>
      <c r="I96" s="99" t="s">
        <v>515</v>
      </c>
    </row>
    <row r="97">
      <c r="B97" s="99" t="s">
        <v>17</v>
      </c>
      <c r="C97" s="99" t="s">
        <v>62</v>
      </c>
      <c r="D97" s="99" t="s">
        <v>363</v>
      </c>
      <c r="E97" s="99" t="s">
        <v>517</v>
      </c>
      <c r="F97" s="104"/>
      <c r="G97" s="104">
        <v>0.0398</v>
      </c>
      <c r="H97" s="99" t="s">
        <v>462</v>
      </c>
      <c r="I97" s="99" t="s">
        <v>515</v>
      </c>
    </row>
    <row r="98">
      <c r="B98" s="99" t="s">
        <v>17</v>
      </c>
      <c r="C98" s="99" t="s">
        <v>62</v>
      </c>
      <c r="D98" s="99" t="s">
        <v>463</v>
      </c>
      <c r="E98" s="99" t="s">
        <v>518</v>
      </c>
      <c r="F98" s="104"/>
      <c r="G98" s="104">
        <v>0.0323</v>
      </c>
      <c r="H98" s="99" t="s">
        <v>462</v>
      </c>
      <c r="I98" s="99" t="s">
        <v>515</v>
      </c>
    </row>
    <row r="99">
      <c r="B99" s="99" t="s">
        <v>17</v>
      </c>
      <c r="C99" s="99" t="s">
        <v>62</v>
      </c>
      <c r="D99" s="99" t="s">
        <v>465</v>
      </c>
      <c r="E99" s="99" t="s">
        <v>519</v>
      </c>
      <c r="F99" s="104"/>
      <c r="G99" s="104">
        <v>0.0429</v>
      </c>
      <c r="H99" s="99" t="s">
        <v>462</v>
      </c>
      <c r="I99" s="99" t="s">
        <v>515</v>
      </c>
    </row>
    <row r="100">
      <c r="B100" s="99" t="s">
        <v>17</v>
      </c>
      <c r="C100" s="99" t="s">
        <v>62</v>
      </c>
      <c r="D100" s="99" t="s">
        <v>467</v>
      </c>
      <c r="E100" s="99" t="s">
        <v>520</v>
      </c>
      <c r="F100" s="104"/>
      <c r="G100" s="104">
        <v>0.0341</v>
      </c>
      <c r="H100" s="99" t="s">
        <v>462</v>
      </c>
      <c r="I100" s="99" t="s">
        <v>515</v>
      </c>
    </row>
    <row r="101">
      <c r="B101" s="99" t="s">
        <v>17</v>
      </c>
      <c r="C101" s="99" t="s">
        <v>62</v>
      </c>
      <c r="D101" s="99" t="s">
        <v>345</v>
      </c>
      <c r="E101" s="99" t="s">
        <v>521</v>
      </c>
      <c r="F101" s="104"/>
      <c r="G101" s="104">
        <v>0.0111</v>
      </c>
      <c r="H101" s="99" t="s">
        <v>462</v>
      </c>
      <c r="I101" s="99" t="s">
        <v>515</v>
      </c>
    </row>
    <row r="102">
      <c r="B102" s="99" t="s">
        <v>17</v>
      </c>
      <c r="C102" s="99" t="s">
        <v>63</v>
      </c>
      <c r="D102" s="99" t="s">
        <v>363</v>
      </c>
      <c r="E102" s="99" t="s">
        <v>522</v>
      </c>
      <c r="F102" s="104"/>
      <c r="G102" s="104">
        <v>0.014</v>
      </c>
      <c r="H102" s="99" t="s">
        <v>462</v>
      </c>
      <c r="I102" s="99" t="s">
        <v>523</v>
      </c>
    </row>
    <row r="103">
      <c r="B103" s="99" t="s">
        <v>17</v>
      </c>
      <c r="C103" s="99" t="s">
        <v>63</v>
      </c>
      <c r="D103" s="99" t="s">
        <v>463</v>
      </c>
      <c r="E103" s="99" t="s">
        <v>524</v>
      </c>
      <c r="F103" s="104"/>
      <c r="G103" s="104">
        <v>0.023</v>
      </c>
      <c r="H103" s="99" t="s">
        <v>462</v>
      </c>
      <c r="I103" s="99" t="s">
        <v>523</v>
      </c>
    </row>
    <row r="104">
      <c r="B104" s="99" t="s">
        <v>17</v>
      </c>
      <c r="C104" s="99" t="s">
        <v>63</v>
      </c>
      <c r="D104" s="99" t="s">
        <v>465</v>
      </c>
      <c r="E104" s="99" t="s">
        <v>525</v>
      </c>
      <c r="F104" s="104"/>
      <c r="G104" s="104">
        <v>0.011</v>
      </c>
      <c r="H104" s="99" t="s">
        <v>462</v>
      </c>
      <c r="I104" s="99" t="s">
        <v>523</v>
      </c>
    </row>
    <row r="105">
      <c r="B105" s="99" t="s">
        <v>17</v>
      </c>
      <c r="C105" s="99" t="s">
        <v>63</v>
      </c>
      <c r="D105" s="99" t="s">
        <v>467</v>
      </c>
      <c r="E105" s="99" t="s">
        <v>526</v>
      </c>
      <c r="F105" s="104"/>
      <c r="G105" s="104">
        <v>0.028</v>
      </c>
      <c r="H105" s="99" t="s">
        <v>462</v>
      </c>
      <c r="I105" s="99" t="s">
        <v>523</v>
      </c>
    </row>
    <row r="106">
      <c r="B106" s="99" t="s">
        <v>17</v>
      </c>
      <c r="C106" s="99" t="s">
        <v>63</v>
      </c>
      <c r="D106" s="99" t="s">
        <v>345</v>
      </c>
      <c r="E106" s="99" t="s">
        <v>527</v>
      </c>
      <c r="F106" s="104"/>
      <c r="G106" s="104">
        <v>0.034</v>
      </c>
      <c r="H106" s="99" t="s">
        <v>462</v>
      </c>
      <c r="I106" s="99" t="s">
        <v>523</v>
      </c>
    </row>
    <row r="107">
      <c r="B107" s="99" t="s">
        <v>17</v>
      </c>
      <c r="C107" s="99" t="s">
        <v>64</v>
      </c>
      <c r="D107" s="99" t="s">
        <v>443</v>
      </c>
      <c r="E107" s="99" t="s">
        <v>528</v>
      </c>
      <c r="F107" s="104">
        <v>0.049</v>
      </c>
      <c r="G107" s="104">
        <v>0.0494005156</v>
      </c>
      <c r="H107" s="99" t="s">
        <v>434</v>
      </c>
      <c r="I107" s="99" t="s">
        <v>356</v>
      </c>
    </row>
    <row r="108">
      <c r="B108" s="99" t="s">
        <v>17</v>
      </c>
      <c r="C108" s="99" t="s">
        <v>64</v>
      </c>
      <c r="D108" s="99" t="s">
        <v>445</v>
      </c>
      <c r="E108" s="99" t="s">
        <v>529</v>
      </c>
      <c r="F108" s="104">
        <v>0.036</v>
      </c>
      <c r="G108" s="104">
        <v>0.035506417542</v>
      </c>
      <c r="H108" s="99" t="s">
        <v>434</v>
      </c>
      <c r="I108" s="99" t="s">
        <v>356</v>
      </c>
    </row>
    <row r="109">
      <c r="B109" s="99" t="s">
        <v>17</v>
      </c>
      <c r="C109" s="99" t="s">
        <v>64</v>
      </c>
      <c r="D109" s="99" t="s">
        <v>447</v>
      </c>
      <c r="E109" s="99" t="s">
        <v>530</v>
      </c>
      <c r="F109" s="104">
        <v>0.033</v>
      </c>
      <c r="G109" s="104">
        <v>0.031649960095</v>
      </c>
      <c r="H109" s="99" t="s">
        <v>434</v>
      </c>
      <c r="I109" s="99" t="s">
        <v>356</v>
      </c>
    </row>
    <row r="110">
      <c r="B110" s="99" t="s">
        <v>17</v>
      </c>
      <c r="C110" s="99" t="s">
        <v>64</v>
      </c>
      <c r="D110" s="99" t="s">
        <v>449</v>
      </c>
      <c r="E110" s="99" t="s">
        <v>531</v>
      </c>
      <c r="F110" s="104">
        <v>0.045</v>
      </c>
      <c r="G110" s="104">
        <v>0.043926004901</v>
      </c>
      <c r="H110" s="99" t="s">
        <v>434</v>
      </c>
      <c r="I110" s="99" t="s">
        <v>356</v>
      </c>
    </row>
    <row r="111">
      <c r="B111" s="99" t="s">
        <v>17</v>
      </c>
      <c r="C111" s="99" t="s">
        <v>64</v>
      </c>
      <c r="D111" s="99" t="s">
        <v>451</v>
      </c>
      <c r="E111" s="99" t="s">
        <v>532</v>
      </c>
      <c r="F111" s="104">
        <v>0.041</v>
      </c>
      <c r="G111" s="104">
        <v>0.041763215364</v>
      </c>
      <c r="H111" s="99" t="s">
        <v>434</v>
      </c>
      <c r="I111" s="99" t="s">
        <v>356</v>
      </c>
    </row>
    <row r="112">
      <c r="B112" s="99" t="s">
        <v>17</v>
      </c>
      <c r="C112" s="99" t="s">
        <v>64</v>
      </c>
      <c r="D112" s="99" t="s">
        <v>453</v>
      </c>
      <c r="E112" s="99" t="s">
        <v>533</v>
      </c>
      <c r="F112" s="104">
        <v>0.016</v>
      </c>
      <c r="G112" s="104">
        <v>0.015892023661</v>
      </c>
      <c r="H112" s="99" t="s">
        <v>434</v>
      </c>
      <c r="I112" s="99" t="s">
        <v>356</v>
      </c>
    </row>
    <row r="113">
      <c r="B113" s="99" t="s">
        <v>17</v>
      </c>
      <c r="C113" s="99" t="s">
        <v>64</v>
      </c>
      <c r="D113" s="99" t="s">
        <v>455</v>
      </c>
      <c r="E113" s="99" t="s">
        <v>534</v>
      </c>
      <c r="F113" s="104">
        <v>0.038</v>
      </c>
      <c r="G113" s="104">
        <v>0.0414063348</v>
      </c>
      <c r="H113" s="99" t="s">
        <v>434</v>
      </c>
      <c r="I113" s="99" t="s">
        <v>356</v>
      </c>
    </row>
    <row r="114">
      <c r="B114" s="99" t="s">
        <v>17</v>
      </c>
      <c r="C114" s="99" t="s">
        <v>64</v>
      </c>
      <c r="D114" s="99" t="s">
        <v>457</v>
      </c>
      <c r="E114" s="99" t="s">
        <v>535</v>
      </c>
      <c r="F114" s="104">
        <v>0.035</v>
      </c>
      <c r="G114" s="104">
        <v>0.037556344138</v>
      </c>
      <c r="H114" s="99" t="s">
        <v>434</v>
      </c>
      <c r="I114" s="99" t="s">
        <v>356</v>
      </c>
    </row>
    <row r="115">
      <c r="B115" s="99" t="s">
        <v>17</v>
      </c>
      <c r="C115" s="99" t="s">
        <v>64</v>
      </c>
      <c r="D115" s="99" t="s">
        <v>459</v>
      </c>
      <c r="E115" s="99" t="s">
        <v>536</v>
      </c>
      <c r="F115" s="104">
        <v>0.037</v>
      </c>
      <c r="G115" s="104">
        <v>0.036803776465</v>
      </c>
      <c r="H115" s="99" t="s">
        <v>434</v>
      </c>
      <c r="I115" s="99" t="s">
        <v>356</v>
      </c>
    </row>
    <row r="116">
      <c r="B116" s="99" t="s">
        <v>17</v>
      </c>
      <c r="C116" s="99" t="s">
        <v>64</v>
      </c>
      <c r="D116" s="99" t="s">
        <v>363</v>
      </c>
      <c r="E116" s="99" t="s">
        <v>537</v>
      </c>
      <c r="F116" s="104"/>
      <c r="G116" s="104">
        <v>0.032679298123</v>
      </c>
      <c r="H116" s="99" t="s">
        <v>462</v>
      </c>
      <c r="I116" s="99" t="s">
        <v>356</v>
      </c>
    </row>
    <row r="117">
      <c r="B117" s="99" t="s">
        <v>17</v>
      </c>
      <c r="C117" s="99" t="s">
        <v>64</v>
      </c>
      <c r="D117" s="99" t="s">
        <v>463</v>
      </c>
      <c r="E117" s="99" t="s">
        <v>538</v>
      </c>
      <c r="F117" s="104"/>
      <c r="G117" s="104">
        <v>0.03807912794</v>
      </c>
      <c r="H117" s="99" t="s">
        <v>462</v>
      </c>
      <c r="I117" s="99" t="s">
        <v>356</v>
      </c>
    </row>
    <row r="118">
      <c r="B118" s="99" t="s">
        <v>17</v>
      </c>
      <c r="C118" s="99" t="s">
        <v>64</v>
      </c>
      <c r="D118" s="99" t="s">
        <v>465</v>
      </c>
      <c r="E118" s="99" t="s">
        <v>539</v>
      </c>
      <c r="F118" s="104"/>
      <c r="G118" s="104">
        <v>0.021754127286</v>
      </c>
      <c r="H118" s="99" t="s">
        <v>462</v>
      </c>
      <c r="I118" s="99" t="s">
        <v>356</v>
      </c>
    </row>
    <row r="119">
      <c r="B119" s="99" t="s">
        <v>17</v>
      </c>
      <c r="C119" s="99" t="s">
        <v>64</v>
      </c>
      <c r="D119" s="99" t="s">
        <v>467</v>
      </c>
      <c r="E119" s="99" t="s">
        <v>540</v>
      </c>
      <c r="F119" s="104"/>
      <c r="G119" s="104">
        <v>0.017513508585</v>
      </c>
      <c r="H119" s="99" t="s">
        <v>462</v>
      </c>
      <c r="I119" s="99" t="s">
        <v>356</v>
      </c>
    </row>
    <row r="120">
      <c r="B120" s="99" t="s">
        <v>17</v>
      </c>
      <c r="C120" s="99" t="s">
        <v>64</v>
      </c>
      <c r="D120" s="99" t="s">
        <v>345</v>
      </c>
      <c r="E120" s="99" t="s">
        <v>541</v>
      </c>
      <c r="F120" s="104"/>
      <c r="G120" s="104">
        <v>0.035592604174</v>
      </c>
      <c r="H120" s="99" t="s">
        <v>462</v>
      </c>
      <c r="I120" s="99" t="s">
        <v>356</v>
      </c>
    </row>
    <row r="121">
      <c r="B121" s="99" t="s">
        <v>18</v>
      </c>
      <c r="C121" s="99" t="s">
        <v>60</v>
      </c>
      <c r="D121" s="99" t="s">
        <v>432</v>
      </c>
      <c r="E121" s="99" t="s">
        <v>542</v>
      </c>
      <c r="F121" s="104">
        <v>0.02</v>
      </c>
      <c r="G121" s="104">
        <v>0.032</v>
      </c>
      <c r="H121" s="99" t="s">
        <v>434</v>
      </c>
      <c r="I121" s="99" t="s">
        <v>359</v>
      </c>
    </row>
    <row r="122">
      <c r="B122" s="99" t="s">
        <v>18</v>
      </c>
      <c r="C122" s="99" t="s">
        <v>60</v>
      </c>
      <c r="D122" s="99" t="s">
        <v>435</v>
      </c>
      <c r="E122" s="99" t="s">
        <v>543</v>
      </c>
      <c r="F122" s="104">
        <v>0</v>
      </c>
      <c r="G122" s="104">
        <v>0.016</v>
      </c>
      <c r="H122" s="99" t="s">
        <v>434</v>
      </c>
      <c r="I122" s="99" t="s">
        <v>359</v>
      </c>
    </row>
    <row r="123">
      <c r="B123" s="99" t="s">
        <v>18</v>
      </c>
      <c r="C123" s="99" t="s">
        <v>60</v>
      </c>
      <c r="D123" s="99" t="s">
        <v>437</v>
      </c>
      <c r="E123" s="99" t="s">
        <v>433</v>
      </c>
      <c r="F123" s="104">
        <v>0.01</v>
      </c>
      <c r="G123" s="104">
        <v>-0.007</v>
      </c>
      <c r="H123" s="99" t="s">
        <v>434</v>
      </c>
      <c r="I123" s="99" t="s">
        <v>359</v>
      </c>
    </row>
    <row r="124">
      <c r="B124" s="99" t="s">
        <v>18</v>
      </c>
      <c r="C124" s="99" t="s">
        <v>60</v>
      </c>
      <c r="D124" s="99" t="s">
        <v>447</v>
      </c>
      <c r="E124" s="99" t="s">
        <v>444</v>
      </c>
      <c r="F124" s="104">
        <v>0.004</v>
      </c>
      <c r="G124" s="104">
        <v>0.003</v>
      </c>
      <c r="H124" s="99" t="s">
        <v>434</v>
      </c>
      <c r="I124" s="99" t="s">
        <v>359</v>
      </c>
    </row>
    <row r="125">
      <c r="B125" s="99" t="s">
        <v>18</v>
      </c>
      <c r="C125" s="99" t="s">
        <v>60</v>
      </c>
      <c r="D125" s="99" t="s">
        <v>459</v>
      </c>
      <c r="E125" s="99" t="s">
        <v>456</v>
      </c>
      <c r="F125" s="104">
        <v>0.002</v>
      </c>
      <c r="G125" s="104">
        <v>0.003</v>
      </c>
      <c r="H125" s="99" t="s">
        <v>434</v>
      </c>
      <c r="I125" s="99" t="s">
        <v>359</v>
      </c>
    </row>
    <row r="126">
      <c r="B126" s="99" t="s">
        <v>18</v>
      </c>
      <c r="C126" s="99" t="s">
        <v>60</v>
      </c>
      <c r="D126" s="99" t="s">
        <v>363</v>
      </c>
      <c r="E126" s="99" t="s">
        <v>458</v>
      </c>
      <c r="F126" s="104"/>
      <c r="G126" s="104">
        <v>0.039</v>
      </c>
      <c r="H126" s="99" t="s">
        <v>462</v>
      </c>
      <c r="I126" s="99" t="s">
        <v>359</v>
      </c>
    </row>
    <row r="127">
      <c r="B127" s="99" t="s">
        <v>18</v>
      </c>
      <c r="C127" s="99" t="s">
        <v>60</v>
      </c>
      <c r="D127" s="99" t="s">
        <v>463</v>
      </c>
      <c r="E127" s="99" t="s">
        <v>460</v>
      </c>
      <c r="F127" s="104"/>
      <c r="G127" s="104">
        <v>0.012</v>
      </c>
      <c r="H127" s="99" t="s">
        <v>462</v>
      </c>
      <c r="I127" s="99" t="s">
        <v>359</v>
      </c>
    </row>
    <row r="128">
      <c r="B128" s="99" t="s">
        <v>18</v>
      </c>
      <c r="C128" s="99" t="s">
        <v>60</v>
      </c>
      <c r="D128" s="99" t="s">
        <v>465</v>
      </c>
      <c r="E128" s="99" t="s">
        <v>461</v>
      </c>
      <c r="F128" s="104"/>
      <c r="G128" s="104">
        <v>0.007</v>
      </c>
      <c r="H128" s="99" t="s">
        <v>462</v>
      </c>
      <c r="I128" s="99" t="s">
        <v>359</v>
      </c>
    </row>
    <row r="129">
      <c r="B129" s="99" t="s">
        <v>18</v>
      </c>
      <c r="C129" s="99" t="s">
        <v>60</v>
      </c>
      <c r="D129" s="99" t="s">
        <v>467</v>
      </c>
      <c r="E129" s="99" t="s">
        <v>464</v>
      </c>
      <c r="F129" s="104"/>
      <c r="G129" s="104">
        <v>0.028</v>
      </c>
      <c r="H129" s="99" t="s">
        <v>462</v>
      </c>
      <c r="I129" s="99" t="s">
        <v>359</v>
      </c>
    </row>
    <row r="130">
      <c r="B130" s="99" t="s">
        <v>18</v>
      </c>
      <c r="C130" s="99" t="s">
        <v>60</v>
      </c>
      <c r="D130" s="99" t="s">
        <v>345</v>
      </c>
      <c r="E130" s="99" t="s">
        <v>466</v>
      </c>
      <c r="F130" s="104"/>
      <c r="G130" s="104">
        <v>0.013</v>
      </c>
      <c r="H130" s="99" t="s">
        <v>462</v>
      </c>
      <c r="I130" s="99" t="s">
        <v>359</v>
      </c>
    </row>
    <row r="131">
      <c r="B131" s="99" t="s">
        <v>18</v>
      </c>
      <c r="C131" s="99" t="s">
        <v>60</v>
      </c>
      <c r="D131" s="99" t="s">
        <v>349</v>
      </c>
      <c r="E131" s="99" t="s">
        <v>468</v>
      </c>
      <c r="F131" s="104"/>
      <c r="G131" s="104">
        <v>0.004</v>
      </c>
      <c r="H131" s="99" t="s">
        <v>462</v>
      </c>
      <c r="I131" s="99" t="s">
        <v>359</v>
      </c>
    </row>
    <row r="132">
      <c r="B132" s="99" t="s">
        <v>18</v>
      </c>
      <c r="C132" s="99" t="s">
        <v>62</v>
      </c>
      <c r="D132" s="99" t="s">
        <v>363</v>
      </c>
      <c r="E132" s="99" t="s">
        <v>514</v>
      </c>
      <c r="F132" s="104"/>
      <c r="G132" s="104">
        <v>0.134</v>
      </c>
      <c r="H132" s="99" t="s">
        <v>462</v>
      </c>
      <c r="I132" s="99" t="s">
        <v>544</v>
      </c>
    </row>
    <row r="133">
      <c r="B133" s="99" t="s">
        <v>18</v>
      </c>
      <c r="C133" s="99" t="s">
        <v>62</v>
      </c>
      <c r="D133" s="99" t="s">
        <v>463</v>
      </c>
      <c r="E133" s="99" t="s">
        <v>516</v>
      </c>
      <c r="F133" s="104"/>
      <c r="G133" s="104">
        <v>0.149</v>
      </c>
      <c r="H133" s="99" t="s">
        <v>462</v>
      </c>
      <c r="I133" s="99" t="s">
        <v>544</v>
      </c>
    </row>
    <row r="134">
      <c r="B134" s="99" t="s">
        <v>18</v>
      </c>
      <c r="C134" s="99" t="s">
        <v>62</v>
      </c>
      <c r="D134" s="99" t="s">
        <v>465</v>
      </c>
      <c r="E134" s="99" t="s">
        <v>517</v>
      </c>
      <c r="F134" s="104"/>
      <c r="G134" s="104">
        <v>0.117</v>
      </c>
      <c r="H134" s="99" t="s">
        <v>462</v>
      </c>
      <c r="I134" s="99" t="s">
        <v>544</v>
      </c>
    </row>
    <row r="135">
      <c r="B135" s="99" t="s">
        <v>18</v>
      </c>
      <c r="C135" s="99" t="s">
        <v>62</v>
      </c>
      <c r="D135" s="99" t="s">
        <v>467</v>
      </c>
      <c r="E135" s="99" t="s">
        <v>518</v>
      </c>
      <c r="F135" s="104"/>
      <c r="G135" s="104">
        <v>0.147</v>
      </c>
      <c r="H135" s="99" t="s">
        <v>462</v>
      </c>
      <c r="I135" s="99" t="s">
        <v>544</v>
      </c>
    </row>
    <row r="136">
      <c r="B136" s="99" t="s">
        <v>18</v>
      </c>
      <c r="C136" s="99" t="s">
        <v>62</v>
      </c>
      <c r="D136" s="99" t="s">
        <v>345</v>
      </c>
      <c r="E136" s="99" t="s">
        <v>519</v>
      </c>
      <c r="F136" s="104"/>
      <c r="G136" s="104">
        <v>0.053</v>
      </c>
      <c r="H136" s="99" t="s">
        <v>462</v>
      </c>
      <c r="I136" s="99" t="s">
        <v>544</v>
      </c>
    </row>
    <row r="137">
      <c r="B137" s="99" t="s">
        <v>18</v>
      </c>
      <c r="C137" s="99" t="s">
        <v>62</v>
      </c>
      <c r="D137" s="99" t="s">
        <v>349</v>
      </c>
      <c r="E137" s="99" t="s">
        <v>520</v>
      </c>
      <c r="F137" s="104"/>
      <c r="G137" s="104">
        <v>0.073</v>
      </c>
      <c r="H137" s="99" t="s">
        <v>462</v>
      </c>
      <c r="I137" s="99" t="s">
        <v>544</v>
      </c>
    </row>
    <row r="138">
      <c r="B138" s="99" t="s">
        <v>18</v>
      </c>
      <c r="C138" s="99" t="s">
        <v>63</v>
      </c>
      <c r="D138" s="99" t="s">
        <v>363</v>
      </c>
      <c r="E138" s="99" t="s">
        <v>545</v>
      </c>
      <c r="F138" s="104"/>
      <c r="G138" s="104">
        <v>0.029</v>
      </c>
      <c r="H138" s="99" t="s">
        <v>462</v>
      </c>
      <c r="I138" s="99" t="s">
        <v>546</v>
      </c>
    </row>
    <row r="139">
      <c r="B139" s="99" t="s">
        <v>18</v>
      </c>
      <c r="C139" s="99" t="s">
        <v>63</v>
      </c>
      <c r="D139" s="99" t="s">
        <v>463</v>
      </c>
      <c r="E139" s="99" t="s">
        <v>547</v>
      </c>
      <c r="F139" s="104"/>
      <c r="G139" s="104">
        <v>0.044</v>
      </c>
      <c r="H139" s="99" t="s">
        <v>462</v>
      </c>
      <c r="I139" s="99" t="s">
        <v>546</v>
      </c>
    </row>
    <row r="140">
      <c r="B140" s="99" t="s">
        <v>18</v>
      </c>
      <c r="C140" s="99" t="s">
        <v>63</v>
      </c>
      <c r="D140" s="99" t="s">
        <v>465</v>
      </c>
      <c r="E140" s="99" t="s">
        <v>522</v>
      </c>
      <c r="F140" s="104"/>
      <c r="G140" s="104">
        <v>0.016</v>
      </c>
      <c r="H140" s="99" t="s">
        <v>462</v>
      </c>
      <c r="I140" s="99" t="s">
        <v>546</v>
      </c>
    </row>
    <row r="141">
      <c r="B141" s="99" t="s">
        <v>18</v>
      </c>
      <c r="C141" s="99" t="s">
        <v>63</v>
      </c>
      <c r="D141" s="99" t="s">
        <v>467</v>
      </c>
      <c r="E141" s="99" t="s">
        <v>524</v>
      </c>
      <c r="F141" s="104"/>
      <c r="G141" s="104">
        <v>0.027</v>
      </c>
      <c r="H141" s="99" t="s">
        <v>462</v>
      </c>
      <c r="I141" s="99" t="s">
        <v>546</v>
      </c>
    </row>
    <row r="142">
      <c r="B142" s="99" t="s">
        <v>18</v>
      </c>
      <c r="C142" s="99" t="s">
        <v>63</v>
      </c>
      <c r="D142" s="99" t="s">
        <v>345</v>
      </c>
      <c r="E142" s="99" t="s">
        <v>525</v>
      </c>
      <c r="F142" s="104"/>
      <c r="G142" s="104">
        <v>0.018</v>
      </c>
      <c r="H142" s="99" t="s">
        <v>462</v>
      </c>
      <c r="I142" s="99" t="s">
        <v>546</v>
      </c>
    </row>
    <row r="143">
      <c r="B143" s="99" t="s">
        <v>19</v>
      </c>
      <c r="C143" s="99" t="s">
        <v>60</v>
      </c>
      <c r="D143" s="99" t="s">
        <v>345</v>
      </c>
      <c r="E143" s="99" t="s">
        <v>433</v>
      </c>
      <c r="F143" s="105"/>
      <c r="G143" s="105">
        <v>44.4</v>
      </c>
      <c r="H143" s="99" t="s">
        <v>462</v>
      </c>
      <c r="I143" s="99" t="s">
        <v>548</v>
      </c>
    </row>
    <row r="144">
      <c r="B144" s="99" t="s">
        <v>19</v>
      </c>
      <c r="C144" s="99" t="s">
        <v>60</v>
      </c>
      <c r="D144" s="99" t="s">
        <v>465</v>
      </c>
      <c r="E144" s="99" t="s">
        <v>542</v>
      </c>
      <c r="F144" s="105"/>
      <c r="G144" s="105">
        <v>47.2</v>
      </c>
      <c r="H144" s="99" t="s">
        <v>462</v>
      </c>
      <c r="I144" s="99" t="s">
        <v>549</v>
      </c>
    </row>
    <row r="145">
      <c r="B145" s="99" t="s">
        <v>19</v>
      </c>
      <c r="C145" s="99" t="s">
        <v>60</v>
      </c>
      <c r="D145" s="99" t="s">
        <v>467</v>
      </c>
      <c r="E145" s="99" t="s">
        <v>543</v>
      </c>
      <c r="F145" s="105"/>
      <c r="G145" s="105">
        <v>46.7</v>
      </c>
      <c r="H145" s="99" t="s">
        <v>462</v>
      </c>
      <c r="I145" s="99" t="s">
        <v>549</v>
      </c>
    </row>
    <row r="146">
      <c r="B146" s="99" t="s">
        <v>19</v>
      </c>
      <c r="C146" s="99" t="s">
        <v>60</v>
      </c>
      <c r="D146" s="99" t="s">
        <v>349</v>
      </c>
      <c r="E146" s="99" t="s">
        <v>436</v>
      </c>
      <c r="F146" s="105"/>
      <c r="G146" s="105">
        <v>46.3</v>
      </c>
      <c r="H146" s="99" t="s">
        <v>462</v>
      </c>
      <c r="I146" s="99" t="s">
        <v>549</v>
      </c>
    </row>
    <row r="147">
      <c r="B147" s="99" t="s">
        <v>19</v>
      </c>
      <c r="C147" s="99" t="s">
        <v>60</v>
      </c>
      <c r="D147" s="99" t="s">
        <v>371</v>
      </c>
      <c r="E147" s="99" t="s">
        <v>438</v>
      </c>
      <c r="F147" s="105"/>
      <c r="G147" s="105">
        <v>44.9</v>
      </c>
      <c r="H147" s="99" t="s">
        <v>462</v>
      </c>
      <c r="I147" s="99" t="s">
        <v>549</v>
      </c>
    </row>
    <row r="148">
      <c r="B148" s="99" t="s">
        <v>19</v>
      </c>
      <c r="C148" s="99" t="s">
        <v>60</v>
      </c>
      <c r="D148" s="99" t="s">
        <v>367</v>
      </c>
      <c r="E148" s="99" t="s">
        <v>440</v>
      </c>
      <c r="F148" s="105"/>
      <c r="G148" s="105">
        <v>46.2</v>
      </c>
      <c r="H148" s="99" t="s">
        <v>462</v>
      </c>
      <c r="I148" s="99" t="s">
        <v>549</v>
      </c>
    </row>
    <row r="149">
      <c r="B149" s="99" t="s">
        <v>19</v>
      </c>
      <c r="C149" s="99" t="s">
        <v>61</v>
      </c>
      <c r="D149" s="99" t="s">
        <v>459</v>
      </c>
      <c r="E149" s="99" t="s">
        <v>485</v>
      </c>
      <c r="F149" s="105">
        <v>57.669616519174</v>
      </c>
      <c r="G149" s="105">
        <v>57.67</v>
      </c>
      <c r="H149" s="99" t="s">
        <v>434</v>
      </c>
      <c r="I149" s="99" t="s">
        <v>370</v>
      </c>
    </row>
    <row r="150">
      <c r="B150" s="99" t="s">
        <v>19</v>
      </c>
      <c r="C150" s="99" t="s">
        <v>61</v>
      </c>
      <c r="D150" s="99" t="s">
        <v>363</v>
      </c>
      <c r="E150" s="99" t="s">
        <v>487</v>
      </c>
      <c r="F150" s="105">
        <v>53.003003003003</v>
      </c>
      <c r="G150" s="105">
        <v>53</v>
      </c>
      <c r="H150" s="99" t="s">
        <v>434</v>
      </c>
      <c r="I150" s="99" t="s">
        <v>370</v>
      </c>
    </row>
    <row r="151">
      <c r="B151" s="99" t="s">
        <v>19</v>
      </c>
      <c r="C151" s="99" t="s">
        <v>61</v>
      </c>
      <c r="D151" s="99" t="s">
        <v>463</v>
      </c>
      <c r="E151" s="99" t="s">
        <v>489</v>
      </c>
      <c r="F151" s="105">
        <v>53.7356321839081</v>
      </c>
      <c r="G151" s="105">
        <v>53.74</v>
      </c>
      <c r="H151" s="99" t="s">
        <v>434</v>
      </c>
      <c r="I151" s="99" t="s">
        <v>370</v>
      </c>
    </row>
    <row r="152">
      <c r="B152" s="99" t="s">
        <v>19</v>
      </c>
      <c r="C152" s="99" t="s">
        <v>61</v>
      </c>
      <c r="D152" s="99" t="s">
        <v>465</v>
      </c>
      <c r="E152" s="99" t="s">
        <v>491</v>
      </c>
      <c r="F152" s="105"/>
      <c r="G152" s="105">
        <v>51.97</v>
      </c>
      <c r="H152" s="99" t="s">
        <v>462</v>
      </c>
      <c r="I152" s="99" t="s">
        <v>370</v>
      </c>
    </row>
    <row r="153">
      <c r="B153" s="99" t="s">
        <v>19</v>
      </c>
      <c r="C153" s="99" t="s">
        <v>61</v>
      </c>
      <c r="D153" s="99" t="s">
        <v>467</v>
      </c>
      <c r="E153" s="99" t="s">
        <v>493</v>
      </c>
      <c r="F153" s="105"/>
      <c r="G153" s="105">
        <v>51.34</v>
      </c>
      <c r="H153" s="99" t="s">
        <v>462</v>
      </c>
      <c r="I153" s="99" t="s">
        <v>370</v>
      </c>
    </row>
    <row r="154">
      <c r="B154" s="99" t="s">
        <v>19</v>
      </c>
      <c r="C154" s="99" t="s">
        <v>61</v>
      </c>
      <c r="D154" s="99" t="s">
        <v>345</v>
      </c>
      <c r="E154" s="99" t="s">
        <v>494</v>
      </c>
      <c r="F154" s="105"/>
      <c r="G154" s="105">
        <v>50.88</v>
      </c>
      <c r="H154" s="99" t="s">
        <v>462</v>
      </c>
      <c r="I154" s="99" t="s">
        <v>370</v>
      </c>
    </row>
    <row r="155">
      <c r="B155" s="99" t="s">
        <v>19</v>
      </c>
      <c r="C155" s="99" t="s">
        <v>61</v>
      </c>
      <c r="D155" s="99" t="s">
        <v>349</v>
      </c>
      <c r="E155" s="99" t="s">
        <v>495</v>
      </c>
      <c r="F155" s="105"/>
      <c r="G155" s="105">
        <v>53.09</v>
      </c>
      <c r="H155" s="99" t="s">
        <v>462</v>
      </c>
      <c r="I155" s="99" t="s">
        <v>370</v>
      </c>
    </row>
    <row r="156">
      <c r="B156" s="99" t="s">
        <v>19</v>
      </c>
      <c r="C156" s="99" t="s">
        <v>61</v>
      </c>
      <c r="D156" s="99" t="s">
        <v>371</v>
      </c>
      <c r="E156" s="99" t="s">
        <v>496</v>
      </c>
      <c r="F156" s="105"/>
      <c r="G156" s="105">
        <v>51.8</v>
      </c>
      <c r="H156" s="99" t="s">
        <v>462</v>
      </c>
      <c r="I156" s="99" t="s">
        <v>370</v>
      </c>
    </row>
    <row r="157">
      <c r="B157" s="99" t="s">
        <v>19</v>
      </c>
      <c r="C157" s="99" t="s">
        <v>62</v>
      </c>
      <c r="D157" s="99" t="s">
        <v>463</v>
      </c>
      <c r="E157" s="99" t="s">
        <v>550</v>
      </c>
      <c r="F157" s="105"/>
      <c r="G157" s="105">
        <v>60.9</v>
      </c>
      <c r="H157" s="99" t="s">
        <v>462</v>
      </c>
      <c r="I157" s="99" t="s">
        <v>551</v>
      </c>
    </row>
    <row r="158">
      <c r="B158" s="99" t="s">
        <v>19</v>
      </c>
      <c r="C158" s="99" t="s">
        <v>62</v>
      </c>
      <c r="D158" s="99" t="s">
        <v>465</v>
      </c>
      <c r="E158" s="99" t="s">
        <v>552</v>
      </c>
      <c r="F158" s="105"/>
      <c r="G158" s="105">
        <v>60.25</v>
      </c>
      <c r="H158" s="99" t="s">
        <v>462</v>
      </c>
      <c r="I158" s="99" t="s">
        <v>551</v>
      </c>
    </row>
    <row r="159">
      <c r="B159" s="99" t="s">
        <v>19</v>
      </c>
      <c r="C159" s="99" t="s">
        <v>62</v>
      </c>
      <c r="D159" s="99" t="s">
        <v>467</v>
      </c>
      <c r="E159" s="99" t="s">
        <v>553</v>
      </c>
      <c r="F159" s="105"/>
      <c r="G159" s="105">
        <v>64.3</v>
      </c>
      <c r="H159" s="99" t="s">
        <v>462</v>
      </c>
      <c r="I159" s="99" t="s">
        <v>551</v>
      </c>
    </row>
    <row r="160">
      <c r="B160" s="99" t="s">
        <v>19</v>
      </c>
      <c r="C160" s="99" t="s">
        <v>62</v>
      </c>
      <c r="D160" s="99" t="s">
        <v>345</v>
      </c>
      <c r="E160" s="99" t="s">
        <v>554</v>
      </c>
      <c r="F160" s="105"/>
      <c r="G160" s="105">
        <v>63.75</v>
      </c>
      <c r="H160" s="99" t="s">
        <v>462</v>
      </c>
      <c r="I160" s="99" t="s">
        <v>551</v>
      </c>
    </row>
    <row r="161">
      <c r="B161" s="99" t="s">
        <v>19</v>
      </c>
      <c r="C161" s="99" t="s">
        <v>62</v>
      </c>
      <c r="D161" s="99" t="s">
        <v>349</v>
      </c>
      <c r="E161" s="99" t="s">
        <v>555</v>
      </c>
      <c r="F161" s="105"/>
      <c r="G161" s="105">
        <v>61.65</v>
      </c>
      <c r="H161" s="99" t="s">
        <v>462</v>
      </c>
      <c r="I161" s="99" t="s">
        <v>551</v>
      </c>
    </row>
    <row r="162">
      <c r="B162" s="99" t="s">
        <v>19</v>
      </c>
      <c r="C162" s="99" t="s">
        <v>63</v>
      </c>
      <c r="D162" s="99" t="s">
        <v>465</v>
      </c>
      <c r="E162" s="99" t="s">
        <v>556</v>
      </c>
      <c r="F162" s="105"/>
      <c r="G162" s="105">
        <v>47.8</v>
      </c>
      <c r="H162" s="99" t="s">
        <v>462</v>
      </c>
      <c r="I162" s="99" t="s">
        <v>557</v>
      </c>
    </row>
    <row r="163">
      <c r="B163" s="99" t="s">
        <v>19</v>
      </c>
      <c r="C163" s="99" t="s">
        <v>63</v>
      </c>
      <c r="D163" s="99" t="s">
        <v>467</v>
      </c>
      <c r="E163" s="99" t="s">
        <v>558</v>
      </c>
      <c r="F163" s="105"/>
      <c r="G163" s="105">
        <v>48</v>
      </c>
      <c r="H163" s="99" t="s">
        <v>462</v>
      </c>
      <c r="I163" s="99" t="s">
        <v>557</v>
      </c>
    </row>
    <row r="164">
      <c r="B164" s="99" t="s">
        <v>19</v>
      </c>
      <c r="C164" s="99" t="s">
        <v>63</v>
      </c>
      <c r="D164" s="99" t="s">
        <v>345</v>
      </c>
      <c r="E164" s="99" t="s">
        <v>559</v>
      </c>
      <c r="F164" s="105"/>
      <c r="G164" s="105">
        <v>48</v>
      </c>
      <c r="H164" s="99" t="s">
        <v>462</v>
      </c>
      <c r="I164" s="99" t="s">
        <v>557</v>
      </c>
    </row>
    <row r="165">
      <c r="B165" s="99" t="s">
        <v>19</v>
      </c>
      <c r="C165" s="99" t="s">
        <v>63</v>
      </c>
      <c r="D165" s="99" t="s">
        <v>349</v>
      </c>
      <c r="E165" s="99" t="s">
        <v>560</v>
      </c>
      <c r="F165" s="105"/>
      <c r="G165" s="105">
        <v>48</v>
      </c>
      <c r="H165" s="99" t="s">
        <v>462</v>
      </c>
      <c r="I165" s="99" t="s">
        <v>557</v>
      </c>
    </row>
    <row r="166">
      <c r="B166" s="99" t="s">
        <v>19</v>
      </c>
      <c r="C166" s="99" t="s">
        <v>63</v>
      </c>
      <c r="D166" s="99" t="s">
        <v>371</v>
      </c>
      <c r="E166" s="99" t="s">
        <v>561</v>
      </c>
      <c r="F166" s="105"/>
      <c r="G166" s="105">
        <v>47.9</v>
      </c>
      <c r="H166" s="99" t="s">
        <v>462</v>
      </c>
      <c r="I166" s="99" t="s">
        <v>557</v>
      </c>
    </row>
    <row r="167">
      <c r="B167" s="99" t="s">
        <v>19</v>
      </c>
      <c r="C167" s="99" t="s">
        <v>64</v>
      </c>
      <c r="D167" s="99" t="s">
        <v>443</v>
      </c>
      <c r="E167" s="99" t="s">
        <v>562</v>
      </c>
      <c r="F167" s="105">
        <v>60.33</v>
      </c>
      <c r="G167" s="105">
        <v>60.333333333333</v>
      </c>
      <c r="H167" s="99" t="s">
        <v>434</v>
      </c>
      <c r="I167" s="99" t="s">
        <v>376</v>
      </c>
    </row>
    <row r="168">
      <c r="B168" s="99" t="s">
        <v>19</v>
      </c>
      <c r="C168" s="99" t="s">
        <v>64</v>
      </c>
      <c r="D168" s="99" t="s">
        <v>445</v>
      </c>
      <c r="E168" s="99" t="s">
        <v>563</v>
      </c>
      <c r="F168" s="105">
        <v>61.62</v>
      </c>
      <c r="G168" s="105">
        <v>61.616161616162</v>
      </c>
      <c r="H168" s="99" t="s">
        <v>434</v>
      </c>
      <c r="I168" s="99" t="s">
        <v>376</v>
      </c>
    </row>
    <row r="169">
      <c r="B169" s="99" t="s">
        <v>19</v>
      </c>
      <c r="C169" s="99" t="s">
        <v>64</v>
      </c>
      <c r="D169" s="99" t="s">
        <v>447</v>
      </c>
      <c r="E169" s="99" t="s">
        <v>564</v>
      </c>
      <c r="F169" s="105">
        <v>61.95</v>
      </c>
      <c r="G169" s="105">
        <v>61.948529411765</v>
      </c>
      <c r="H169" s="99" t="s">
        <v>434</v>
      </c>
      <c r="I169" s="99" t="s">
        <v>376</v>
      </c>
    </row>
    <row r="170">
      <c r="B170" s="99" t="s">
        <v>19</v>
      </c>
      <c r="C170" s="99" t="s">
        <v>64</v>
      </c>
      <c r="D170" s="99" t="s">
        <v>449</v>
      </c>
      <c r="E170" s="99" t="s">
        <v>565</v>
      </c>
      <c r="F170" s="105">
        <v>64.51</v>
      </c>
      <c r="G170" s="105">
        <v>64.51048951049</v>
      </c>
      <c r="H170" s="99" t="s">
        <v>434</v>
      </c>
      <c r="I170" s="99" t="s">
        <v>376</v>
      </c>
    </row>
    <row r="171">
      <c r="B171" s="99" t="s">
        <v>19</v>
      </c>
      <c r="C171" s="99" t="s">
        <v>64</v>
      </c>
      <c r="D171" s="99" t="s">
        <v>451</v>
      </c>
      <c r="E171" s="99" t="s">
        <v>566</v>
      </c>
      <c r="F171" s="105">
        <v>65.73</v>
      </c>
      <c r="G171" s="105">
        <v>65.734265734266</v>
      </c>
      <c r="H171" s="99" t="s">
        <v>434</v>
      </c>
      <c r="I171" s="99" t="s">
        <v>376</v>
      </c>
    </row>
    <row r="172">
      <c r="B172" s="99" t="s">
        <v>19</v>
      </c>
      <c r="C172" s="99" t="s">
        <v>64</v>
      </c>
      <c r="D172" s="99" t="s">
        <v>453</v>
      </c>
      <c r="E172" s="99" t="s">
        <v>567</v>
      </c>
      <c r="F172" s="105">
        <v>66.15</v>
      </c>
      <c r="G172" s="105">
        <v>66.153846153846</v>
      </c>
      <c r="H172" s="99" t="s">
        <v>434</v>
      </c>
      <c r="I172" s="99" t="s">
        <v>376</v>
      </c>
    </row>
    <row r="173">
      <c r="B173" s="99" t="s">
        <v>19</v>
      </c>
      <c r="C173" s="99" t="s">
        <v>64</v>
      </c>
      <c r="D173" s="99" t="s">
        <v>455</v>
      </c>
      <c r="E173" s="99" t="s">
        <v>568</v>
      </c>
      <c r="F173" s="105">
        <v>64.56</v>
      </c>
      <c r="G173" s="105">
        <v>64.561403508772</v>
      </c>
      <c r="H173" s="99" t="s">
        <v>434</v>
      </c>
      <c r="I173" s="99" t="s">
        <v>376</v>
      </c>
    </row>
    <row r="174">
      <c r="B174" s="99" t="s">
        <v>19</v>
      </c>
      <c r="C174" s="99" t="s">
        <v>64</v>
      </c>
      <c r="D174" s="99" t="s">
        <v>457</v>
      </c>
      <c r="E174" s="99" t="s">
        <v>569</v>
      </c>
      <c r="F174" s="105">
        <v>67.56</v>
      </c>
      <c r="G174" s="105">
        <v>67.557251908397</v>
      </c>
      <c r="H174" s="99" t="s">
        <v>434</v>
      </c>
      <c r="I174" s="99" t="s">
        <v>376</v>
      </c>
    </row>
    <row r="175">
      <c r="B175" s="99" t="s">
        <v>19</v>
      </c>
      <c r="C175" s="99" t="s">
        <v>64</v>
      </c>
      <c r="D175" s="99" t="s">
        <v>459</v>
      </c>
      <c r="E175" s="99" t="s">
        <v>570</v>
      </c>
      <c r="F175" s="105">
        <v>62.01</v>
      </c>
      <c r="G175" s="105">
        <v>62.007874015748</v>
      </c>
      <c r="H175" s="99" t="s">
        <v>434</v>
      </c>
      <c r="I175" s="99" t="s">
        <v>376</v>
      </c>
    </row>
    <row r="176">
      <c r="B176" s="99" t="s">
        <v>19</v>
      </c>
      <c r="C176" s="99" t="s">
        <v>64</v>
      </c>
      <c r="D176" s="99" t="s">
        <v>363</v>
      </c>
      <c r="E176" s="99" t="s">
        <v>571</v>
      </c>
      <c r="F176" s="105">
        <v>62.12</v>
      </c>
      <c r="G176" s="105">
        <v>62.121212121212</v>
      </c>
      <c r="H176" s="99" t="s">
        <v>434</v>
      </c>
      <c r="I176" s="99" t="s">
        <v>376</v>
      </c>
    </row>
    <row r="177">
      <c r="B177" s="99" t="s">
        <v>19</v>
      </c>
      <c r="C177" s="99" t="s">
        <v>64</v>
      </c>
      <c r="D177" s="99" t="s">
        <v>463</v>
      </c>
      <c r="E177" s="99" t="s">
        <v>572</v>
      </c>
      <c r="F177" s="105"/>
      <c r="G177" s="105">
        <v>56.488549618321</v>
      </c>
      <c r="H177" s="99" t="s">
        <v>462</v>
      </c>
      <c r="I177" s="99" t="s">
        <v>376</v>
      </c>
    </row>
    <row r="178">
      <c r="B178" s="99" t="s">
        <v>19</v>
      </c>
      <c r="C178" s="99" t="s">
        <v>64</v>
      </c>
      <c r="D178" s="99" t="s">
        <v>465</v>
      </c>
      <c r="E178" s="99" t="s">
        <v>573</v>
      </c>
      <c r="F178" s="105"/>
      <c r="G178" s="105">
        <v>58.75486381323</v>
      </c>
      <c r="H178" s="99" t="s">
        <v>462</v>
      </c>
      <c r="I178" s="99" t="s">
        <v>376</v>
      </c>
    </row>
    <row r="179">
      <c r="B179" s="99" t="s">
        <v>19</v>
      </c>
      <c r="C179" s="99" t="s">
        <v>64</v>
      </c>
      <c r="D179" s="99" t="s">
        <v>467</v>
      </c>
      <c r="E179" s="99" t="s">
        <v>574</v>
      </c>
      <c r="F179" s="105"/>
      <c r="G179" s="105">
        <v>68.374558303887</v>
      </c>
      <c r="H179" s="99" t="s">
        <v>462</v>
      </c>
      <c r="I179" s="99" t="s">
        <v>376</v>
      </c>
    </row>
    <row r="180">
      <c r="B180" s="99" t="s">
        <v>19</v>
      </c>
      <c r="C180" s="99" t="s">
        <v>64</v>
      </c>
      <c r="D180" s="99" t="s">
        <v>345</v>
      </c>
      <c r="E180" s="99" t="s">
        <v>575</v>
      </c>
      <c r="F180" s="105"/>
      <c r="G180" s="105">
        <v>67.760617760618</v>
      </c>
      <c r="H180" s="99" t="s">
        <v>462</v>
      </c>
      <c r="I180" s="99" t="s">
        <v>376</v>
      </c>
    </row>
    <row r="181">
      <c r="B181" s="99" t="s">
        <v>19</v>
      </c>
      <c r="C181" s="99" t="s">
        <v>64</v>
      </c>
      <c r="D181" s="99" t="s">
        <v>349</v>
      </c>
      <c r="E181" s="99" t="s">
        <v>576</v>
      </c>
      <c r="F181" s="105"/>
      <c r="G181" s="105">
        <v>67.283950617284</v>
      </c>
      <c r="H181" s="99" t="s">
        <v>462</v>
      </c>
      <c r="I181" s="99" t="s">
        <v>376</v>
      </c>
    </row>
    <row r="182">
      <c r="B182" s="99" t="s">
        <v>19</v>
      </c>
      <c r="C182" s="99" t="s">
        <v>64</v>
      </c>
      <c r="D182" s="99" t="s">
        <v>371</v>
      </c>
      <c r="E182" s="99" t="s">
        <v>577</v>
      </c>
      <c r="F182" s="105"/>
      <c r="G182" s="105">
        <v>66.730038022814</v>
      </c>
      <c r="H182" s="99" t="s">
        <v>462</v>
      </c>
      <c r="I182" s="99" t="s">
        <v>376</v>
      </c>
    </row>
    <row r="183">
      <c r="B183" s="99" t="s">
        <v>20</v>
      </c>
      <c r="C183" s="99" t="s">
        <v>60</v>
      </c>
      <c r="D183" s="99" t="s">
        <v>463</v>
      </c>
      <c r="E183" s="99" t="s">
        <v>578</v>
      </c>
      <c r="F183" s="105"/>
      <c r="G183" s="105">
        <v>60.53</v>
      </c>
      <c r="H183" s="99" t="s">
        <v>462</v>
      </c>
      <c r="I183" s="99" t="s">
        <v>379</v>
      </c>
    </row>
    <row r="184">
      <c r="B184" s="99" t="s">
        <v>20</v>
      </c>
      <c r="C184" s="99" t="s">
        <v>60</v>
      </c>
      <c r="D184" s="99" t="s">
        <v>465</v>
      </c>
      <c r="E184" s="99" t="s">
        <v>579</v>
      </c>
      <c r="F184" s="105"/>
      <c r="G184" s="105">
        <v>60.275</v>
      </c>
      <c r="H184" s="99" t="s">
        <v>462</v>
      </c>
      <c r="I184" s="99" t="s">
        <v>379</v>
      </c>
    </row>
    <row r="185">
      <c r="B185" s="99" t="s">
        <v>20</v>
      </c>
      <c r="C185" s="99" t="s">
        <v>60</v>
      </c>
      <c r="D185" s="99" t="s">
        <v>467</v>
      </c>
      <c r="E185" s="99" t="s">
        <v>580</v>
      </c>
      <c r="F185" s="105"/>
      <c r="G185" s="105">
        <v>62.035</v>
      </c>
      <c r="H185" s="99" t="s">
        <v>462</v>
      </c>
      <c r="I185" s="99" t="s">
        <v>379</v>
      </c>
    </row>
    <row r="186">
      <c r="B186" s="99" t="s">
        <v>20</v>
      </c>
      <c r="C186" s="99" t="s">
        <v>60</v>
      </c>
      <c r="D186" s="99" t="s">
        <v>345</v>
      </c>
      <c r="E186" s="99" t="s">
        <v>581</v>
      </c>
      <c r="F186" s="105"/>
      <c r="G186" s="105">
        <v>60.8</v>
      </c>
      <c r="H186" s="99" t="s">
        <v>462</v>
      </c>
      <c r="I186" s="99" t="s">
        <v>379</v>
      </c>
    </row>
    <row r="187">
      <c r="B187" s="99" t="s">
        <v>20</v>
      </c>
      <c r="C187" s="99" t="s">
        <v>60</v>
      </c>
      <c r="D187" s="99" t="s">
        <v>349</v>
      </c>
      <c r="E187" s="99" t="s">
        <v>582</v>
      </c>
      <c r="F187" s="105"/>
      <c r="G187" s="105">
        <v>60.42</v>
      </c>
      <c r="H187" s="99" t="s">
        <v>462</v>
      </c>
      <c r="I187" s="99" t="s">
        <v>379</v>
      </c>
    </row>
    <row r="188">
      <c r="B188" s="99" t="s">
        <v>20</v>
      </c>
      <c r="C188" s="99" t="s">
        <v>61</v>
      </c>
      <c r="D188" s="99" t="s">
        <v>432</v>
      </c>
      <c r="E188" s="99" t="s">
        <v>498</v>
      </c>
      <c r="F188" s="105">
        <v>43.2837</v>
      </c>
      <c r="G188" s="105">
        <v>43.3</v>
      </c>
      <c r="H188" s="99" t="s">
        <v>434</v>
      </c>
      <c r="I188" s="99" t="s">
        <v>382</v>
      </c>
    </row>
    <row r="189">
      <c r="B189" s="99" t="s">
        <v>20</v>
      </c>
      <c r="C189" s="99" t="s">
        <v>61</v>
      </c>
      <c r="D189" s="99" t="s">
        <v>435</v>
      </c>
      <c r="E189" s="99" t="s">
        <v>499</v>
      </c>
      <c r="F189" s="105">
        <v>45.3503</v>
      </c>
      <c r="G189" s="105">
        <v>45.4</v>
      </c>
      <c r="H189" s="99" t="s">
        <v>434</v>
      </c>
      <c r="I189" s="99" t="s">
        <v>382</v>
      </c>
    </row>
    <row r="190">
      <c r="B190" s="99" t="s">
        <v>20</v>
      </c>
      <c r="C190" s="99" t="s">
        <v>61</v>
      </c>
      <c r="D190" s="99" t="s">
        <v>437</v>
      </c>
      <c r="E190" s="99" t="s">
        <v>500</v>
      </c>
      <c r="F190" s="105">
        <v>40.784</v>
      </c>
      <c r="G190" s="105">
        <v>40.8</v>
      </c>
      <c r="H190" s="99" t="s">
        <v>434</v>
      </c>
      <c r="I190" s="99" t="s">
        <v>382</v>
      </c>
    </row>
    <row r="191">
      <c r="B191" s="99" t="s">
        <v>20</v>
      </c>
      <c r="C191" s="99" t="s">
        <v>61</v>
      </c>
      <c r="D191" s="99" t="s">
        <v>439</v>
      </c>
      <c r="E191" s="99" t="s">
        <v>501</v>
      </c>
      <c r="F191" s="105">
        <v>43.1167</v>
      </c>
      <c r="G191" s="105">
        <v>43.1</v>
      </c>
      <c r="H191" s="99" t="s">
        <v>434</v>
      </c>
      <c r="I191" s="99" t="s">
        <v>382</v>
      </c>
    </row>
    <row r="192">
      <c r="B192" s="99" t="s">
        <v>20</v>
      </c>
      <c r="C192" s="99" t="s">
        <v>61</v>
      </c>
      <c r="D192" s="99" t="s">
        <v>441</v>
      </c>
      <c r="E192" s="99" t="s">
        <v>502</v>
      </c>
      <c r="F192" s="105">
        <v>41.7363</v>
      </c>
      <c r="G192" s="105">
        <v>41.7</v>
      </c>
      <c r="H192" s="99" t="s">
        <v>434</v>
      </c>
      <c r="I192" s="99" t="s">
        <v>382</v>
      </c>
    </row>
    <row r="193">
      <c r="B193" s="99" t="s">
        <v>20</v>
      </c>
      <c r="C193" s="99" t="s">
        <v>61</v>
      </c>
      <c r="D193" s="99" t="s">
        <v>443</v>
      </c>
      <c r="E193" s="99" t="s">
        <v>503</v>
      </c>
      <c r="F193" s="105">
        <v>42.727</v>
      </c>
      <c r="G193" s="105">
        <v>42.7</v>
      </c>
      <c r="H193" s="99" t="s">
        <v>434</v>
      </c>
      <c r="I193" s="99" t="s">
        <v>382</v>
      </c>
    </row>
    <row r="194">
      <c r="B194" s="99" t="s">
        <v>20</v>
      </c>
      <c r="C194" s="99" t="s">
        <v>61</v>
      </c>
      <c r="D194" s="99" t="s">
        <v>445</v>
      </c>
      <c r="E194" s="99" t="s">
        <v>504</v>
      </c>
      <c r="F194" s="105">
        <v>41.6037</v>
      </c>
      <c r="G194" s="105">
        <v>41.6</v>
      </c>
      <c r="H194" s="99" t="s">
        <v>434</v>
      </c>
      <c r="I194" s="99" t="s">
        <v>382</v>
      </c>
    </row>
    <row r="195">
      <c r="B195" s="99" t="s">
        <v>20</v>
      </c>
      <c r="C195" s="99" t="s">
        <v>61</v>
      </c>
      <c r="D195" s="99" t="s">
        <v>447</v>
      </c>
      <c r="E195" s="99" t="s">
        <v>505</v>
      </c>
      <c r="F195" s="105">
        <v>44.3258</v>
      </c>
      <c r="G195" s="105">
        <v>44.3</v>
      </c>
      <c r="H195" s="99" t="s">
        <v>434</v>
      </c>
      <c r="I195" s="99" t="s">
        <v>382</v>
      </c>
    </row>
    <row r="196">
      <c r="B196" s="99" t="s">
        <v>20</v>
      </c>
      <c r="C196" s="99" t="s">
        <v>61</v>
      </c>
      <c r="D196" s="99" t="s">
        <v>451</v>
      </c>
      <c r="E196" s="99" t="s">
        <v>507</v>
      </c>
      <c r="F196" s="105">
        <v>42.9764</v>
      </c>
      <c r="G196" s="105">
        <v>43</v>
      </c>
      <c r="H196" s="99" t="s">
        <v>434</v>
      </c>
      <c r="I196" s="99" t="s">
        <v>382</v>
      </c>
    </row>
    <row r="197">
      <c r="B197" s="99" t="s">
        <v>20</v>
      </c>
      <c r="C197" s="99" t="s">
        <v>61</v>
      </c>
      <c r="D197" s="99" t="s">
        <v>453</v>
      </c>
      <c r="E197" s="99" t="s">
        <v>508</v>
      </c>
      <c r="F197" s="105">
        <v>43.6942</v>
      </c>
      <c r="G197" s="105">
        <v>43.7</v>
      </c>
      <c r="H197" s="99" t="s">
        <v>434</v>
      </c>
      <c r="I197" s="99" t="s">
        <v>382</v>
      </c>
    </row>
    <row r="198">
      <c r="B198" s="99" t="s">
        <v>20</v>
      </c>
      <c r="C198" s="99" t="s">
        <v>61</v>
      </c>
      <c r="D198" s="99" t="s">
        <v>457</v>
      </c>
      <c r="E198" s="99" t="s">
        <v>510</v>
      </c>
      <c r="F198" s="105">
        <v>49.3864</v>
      </c>
      <c r="G198" s="105">
        <v>49.4</v>
      </c>
      <c r="H198" s="99" t="s">
        <v>434</v>
      </c>
      <c r="I198" s="99" t="s">
        <v>382</v>
      </c>
    </row>
    <row r="199">
      <c r="B199" s="99" t="s">
        <v>20</v>
      </c>
      <c r="C199" s="99" t="s">
        <v>61</v>
      </c>
      <c r="D199" s="99" t="s">
        <v>459</v>
      </c>
      <c r="E199" s="99" t="s">
        <v>511</v>
      </c>
      <c r="F199" s="105">
        <v>50.2675</v>
      </c>
      <c r="G199" s="105">
        <v>50.3</v>
      </c>
      <c r="H199" s="99" t="s">
        <v>434</v>
      </c>
      <c r="I199" s="99" t="s">
        <v>382</v>
      </c>
    </row>
    <row r="200">
      <c r="B200" s="99" t="s">
        <v>20</v>
      </c>
      <c r="C200" s="99" t="s">
        <v>61</v>
      </c>
      <c r="D200" s="99" t="s">
        <v>363</v>
      </c>
      <c r="E200" s="99" t="s">
        <v>512</v>
      </c>
      <c r="F200" s="105">
        <v>48.8233</v>
      </c>
      <c r="G200" s="105">
        <v>48.8</v>
      </c>
      <c r="H200" s="99" t="s">
        <v>434</v>
      </c>
      <c r="I200" s="99" t="s">
        <v>382</v>
      </c>
    </row>
    <row r="201">
      <c r="B201" s="99" t="s">
        <v>20</v>
      </c>
      <c r="C201" s="99" t="s">
        <v>61</v>
      </c>
      <c r="D201" s="99" t="s">
        <v>463</v>
      </c>
      <c r="E201" s="99" t="s">
        <v>513</v>
      </c>
      <c r="F201" s="105"/>
      <c r="G201" s="105">
        <v>41.3</v>
      </c>
      <c r="H201" s="99" t="s">
        <v>462</v>
      </c>
      <c r="I201" s="99" t="s">
        <v>382</v>
      </c>
    </row>
    <row r="202">
      <c r="B202" s="99" t="s">
        <v>20</v>
      </c>
      <c r="C202" s="99" t="s">
        <v>61</v>
      </c>
      <c r="D202" s="99" t="s">
        <v>465</v>
      </c>
      <c r="E202" s="99" t="s">
        <v>583</v>
      </c>
      <c r="F202" s="105"/>
      <c r="G202" s="105">
        <v>40.9</v>
      </c>
      <c r="H202" s="99" t="s">
        <v>462</v>
      </c>
      <c r="I202" s="99" t="s">
        <v>382</v>
      </c>
    </row>
    <row r="203">
      <c r="B203" s="99" t="s">
        <v>20</v>
      </c>
      <c r="C203" s="99" t="s">
        <v>61</v>
      </c>
      <c r="D203" s="99" t="s">
        <v>467</v>
      </c>
      <c r="E203" s="99" t="s">
        <v>584</v>
      </c>
      <c r="F203" s="105"/>
      <c r="G203" s="105">
        <v>41.2</v>
      </c>
      <c r="H203" s="99" t="s">
        <v>462</v>
      </c>
      <c r="I203" s="99" t="s">
        <v>382</v>
      </c>
    </row>
    <row r="204">
      <c r="B204" s="99" t="s">
        <v>20</v>
      </c>
      <c r="C204" s="99" t="s">
        <v>61</v>
      </c>
      <c r="D204" s="99" t="s">
        <v>345</v>
      </c>
      <c r="E204" s="99" t="s">
        <v>585</v>
      </c>
      <c r="F204" s="105"/>
      <c r="G204" s="105">
        <v>42</v>
      </c>
      <c r="H204" s="99" t="s">
        <v>462</v>
      </c>
      <c r="I204" s="99" t="s">
        <v>382</v>
      </c>
    </row>
    <row r="205">
      <c r="B205" s="99" t="s">
        <v>20</v>
      </c>
      <c r="C205" s="99" t="s">
        <v>61</v>
      </c>
      <c r="D205" s="99" t="s">
        <v>349</v>
      </c>
      <c r="E205" s="99" t="s">
        <v>586</v>
      </c>
      <c r="F205" s="105"/>
      <c r="G205" s="105">
        <v>38.1</v>
      </c>
      <c r="H205" s="99" t="s">
        <v>462</v>
      </c>
      <c r="I205" s="99" t="s">
        <v>382</v>
      </c>
    </row>
    <row r="206">
      <c r="B206" s="99" t="s">
        <v>20</v>
      </c>
      <c r="C206" s="99" t="s">
        <v>61</v>
      </c>
      <c r="D206" s="99" t="s">
        <v>371</v>
      </c>
      <c r="E206" s="99" t="s">
        <v>587</v>
      </c>
      <c r="F206" s="105"/>
      <c r="G206" s="105">
        <v>40.5</v>
      </c>
      <c r="H206" s="99" t="s">
        <v>462</v>
      </c>
      <c r="I206" s="99" t="s">
        <v>382</v>
      </c>
    </row>
    <row r="207">
      <c r="B207" s="99" t="s">
        <v>20</v>
      </c>
      <c r="C207" s="99" t="s">
        <v>62</v>
      </c>
      <c r="D207" s="99" t="s">
        <v>463</v>
      </c>
      <c r="E207" s="99" t="s">
        <v>588</v>
      </c>
      <c r="F207" s="105"/>
      <c r="G207" s="105">
        <v>56.85</v>
      </c>
      <c r="H207" s="99" t="s">
        <v>462</v>
      </c>
      <c r="I207" s="99" t="s">
        <v>589</v>
      </c>
    </row>
    <row r="208">
      <c r="B208" s="99" t="s">
        <v>20</v>
      </c>
      <c r="C208" s="99" t="s">
        <v>62</v>
      </c>
      <c r="D208" s="99" t="s">
        <v>465</v>
      </c>
      <c r="E208" s="99" t="s">
        <v>590</v>
      </c>
      <c r="F208" s="105"/>
      <c r="G208" s="105">
        <v>58.9</v>
      </c>
      <c r="H208" s="99" t="s">
        <v>462</v>
      </c>
      <c r="I208" s="99" t="s">
        <v>589</v>
      </c>
    </row>
    <row r="209">
      <c r="B209" s="99" t="s">
        <v>20</v>
      </c>
      <c r="C209" s="99" t="s">
        <v>62</v>
      </c>
      <c r="D209" s="99" t="s">
        <v>467</v>
      </c>
      <c r="E209" s="99" t="s">
        <v>591</v>
      </c>
      <c r="F209" s="105"/>
      <c r="G209" s="105">
        <v>62.15</v>
      </c>
      <c r="H209" s="99" t="s">
        <v>462</v>
      </c>
      <c r="I209" s="99" t="s">
        <v>589</v>
      </c>
    </row>
    <row r="210">
      <c r="B210" s="99" t="s">
        <v>20</v>
      </c>
      <c r="C210" s="99" t="s">
        <v>62</v>
      </c>
      <c r="D210" s="99" t="s">
        <v>345</v>
      </c>
      <c r="E210" s="99" t="s">
        <v>592</v>
      </c>
      <c r="F210" s="105"/>
      <c r="G210" s="105">
        <v>60.35</v>
      </c>
      <c r="H210" s="99" t="s">
        <v>462</v>
      </c>
      <c r="I210" s="99" t="s">
        <v>589</v>
      </c>
    </row>
    <row r="211">
      <c r="B211" s="99" t="s">
        <v>20</v>
      </c>
      <c r="C211" s="99" t="s">
        <v>62</v>
      </c>
      <c r="D211" s="99" t="s">
        <v>349</v>
      </c>
      <c r="E211" s="99" t="s">
        <v>593</v>
      </c>
      <c r="F211" s="105"/>
      <c r="G211" s="105">
        <v>57.75</v>
      </c>
      <c r="H211" s="99" t="s">
        <v>462</v>
      </c>
      <c r="I211" s="99" t="s">
        <v>589</v>
      </c>
    </row>
    <row r="212">
      <c r="B212" s="99" t="s">
        <v>20</v>
      </c>
      <c r="C212" s="99" t="s">
        <v>62</v>
      </c>
      <c r="D212" s="99" t="s">
        <v>371</v>
      </c>
      <c r="E212" s="99" t="s">
        <v>594</v>
      </c>
      <c r="F212" s="105"/>
      <c r="G212" s="105">
        <v>57.85</v>
      </c>
      <c r="H212" s="99" t="s">
        <v>462</v>
      </c>
      <c r="I212" s="99" t="s">
        <v>589</v>
      </c>
    </row>
    <row r="213">
      <c r="B213" s="99" t="s">
        <v>20</v>
      </c>
      <c r="C213" s="99" t="s">
        <v>63</v>
      </c>
      <c r="D213" s="99" t="s">
        <v>432</v>
      </c>
      <c r="E213" s="99" t="s">
        <v>595</v>
      </c>
      <c r="F213" s="105">
        <v>47.14965612592585</v>
      </c>
      <c r="G213" s="105">
        <v>46.7842</v>
      </c>
      <c r="H213" s="99" t="s">
        <v>434</v>
      </c>
      <c r="I213" s="99" t="s">
        <v>596</v>
      </c>
    </row>
    <row r="214">
      <c r="B214" s="99" t="s">
        <v>20</v>
      </c>
      <c r="C214" s="99" t="s">
        <v>63</v>
      </c>
      <c r="D214" s="99" t="s">
        <v>435</v>
      </c>
      <c r="E214" s="99" t="s">
        <v>597</v>
      </c>
      <c r="F214" s="105">
        <v>46.48836648673298</v>
      </c>
      <c r="G214" s="105">
        <v>46.4138</v>
      </c>
      <c r="H214" s="99" t="s">
        <v>434</v>
      </c>
      <c r="I214" s="99" t="s">
        <v>596</v>
      </c>
    </row>
    <row r="215">
      <c r="B215" s="99" t="s">
        <v>20</v>
      </c>
      <c r="C215" s="99" t="s">
        <v>63</v>
      </c>
      <c r="D215" s="99" t="s">
        <v>437</v>
      </c>
      <c r="E215" s="99" t="s">
        <v>598</v>
      </c>
      <c r="F215" s="105">
        <v>46.090078149416264</v>
      </c>
      <c r="G215" s="105">
        <v>46.1627</v>
      </c>
      <c r="H215" s="99" t="s">
        <v>434</v>
      </c>
      <c r="I215" s="99" t="s">
        <v>596</v>
      </c>
    </row>
    <row r="216">
      <c r="B216" s="99" t="s">
        <v>20</v>
      </c>
      <c r="C216" s="99" t="s">
        <v>63</v>
      </c>
      <c r="D216" s="99" t="s">
        <v>439</v>
      </c>
      <c r="E216" s="99" t="s">
        <v>599</v>
      </c>
      <c r="F216" s="105">
        <v>45.454235606749975</v>
      </c>
      <c r="G216" s="105">
        <v>45.4925</v>
      </c>
      <c r="H216" s="99" t="s">
        <v>434</v>
      </c>
      <c r="I216" s="99" t="s">
        <v>596</v>
      </c>
    </row>
    <row r="217">
      <c r="B217" s="99" t="s">
        <v>20</v>
      </c>
      <c r="C217" s="99" t="s">
        <v>63</v>
      </c>
      <c r="D217" s="99" t="s">
        <v>441</v>
      </c>
      <c r="E217" s="99" t="s">
        <v>600</v>
      </c>
      <c r="F217" s="105">
        <v>46.497801253238435</v>
      </c>
      <c r="G217" s="105">
        <v>47.0813</v>
      </c>
      <c r="H217" s="99" t="s">
        <v>434</v>
      </c>
      <c r="I217" s="99" t="s">
        <v>596</v>
      </c>
    </row>
    <row r="218">
      <c r="B218" s="99" t="s">
        <v>20</v>
      </c>
      <c r="C218" s="99" t="s">
        <v>63</v>
      </c>
      <c r="D218" s="99" t="s">
        <v>443</v>
      </c>
      <c r="E218" s="99" t="s">
        <v>601</v>
      </c>
      <c r="F218" s="105">
        <v>45.71425321837277</v>
      </c>
      <c r="G218" s="105">
        <v>45.6721</v>
      </c>
      <c r="H218" s="99" t="s">
        <v>434</v>
      </c>
      <c r="I218" s="99" t="s">
        <v>596</v>
      </c>
    </row>
    <row r="219">
      <c r="B219" s="99" t="s">
        <v>20</v>
      </c>
      <c r="C219" s="99" t="s">
        <v>63</v>
      </c>
      <c r="D219" s="99" t="s">
        <v>445</v>
      </c>
      <c r="E219" s="99" t="s">
        <v>602</v>
      </c>
      <c r="F219" s="105">
        <v>45.76638840784024</v>
      </c>
      <c r="G219" s="105">
        <v>45.7155</v>
      </c>
      <c r="H219" s="99" t="s">
        <v>434</v>
      </c>
      <c r="I219" s="99" t="s">
        <v>596</v>
      </c>
    </row>
    <row r="220">
      <c r="B220" s="99" t="s">
        <v>20</v>
      </c>
      <c r="C220" s="99" t="s">
        <v>63</v>
      </c>
      <c r="D220" s="99" t="s">
        <v>447</v>
      </c>
      <c r="E220" s="99" t="s">
        <v>603</v>
      </c>
      <c r="F220" s="105">
        <v>46.45520174250155</v>
      </c>
      <c r="G220" s="105">
        <v>46.3177</v>
      </c>
      <c r="H220" s="99" t="s">
        <v>434</v>
      </c>
      <c r="I220" s="99" t="s">
        <v>596</v>
      </c>
    </row>
    <row r="221">
      <c r="B221" s="99" t="s">
        <v>20</v>
      </c>
      <c r="C221" s="99" t="s">
        <v>63</v>
      </c>
      <c r="D221" s="99" t="s">
        <v>449</v>
      </c>
      <c r="E221" s="99" t="s">
        <v>545</v>
      </c>
      <c r="F221" s="105">
        <v>46.06859102825592</v>
      </c>
      <c r="G221" s="105">
        <v>46.0462</v>
      </c>
      <c r="H221" s="99" t="s">
        <v>434</v>
      </c>
      <c r="I221" s="99" t="s">
        <v>596</v>
      </c>
    </row>
    <row r="222">
      <c r="B222" s="99" t="s">
        <v>20</v>
      </c>
      <c r="C222" s="99" t="s">
        <v>63</v>
      </c>
      <c r="D222" s="99" t="s">
        <v>451</v>
      </c>
      <c r="E222" s="99" t="s">
        <v>547</v>
      </c>
      <c r="F222" s="105">
        <v>45.68948200251751</v>
      </c>
      <c r="G222" s="105">
        <v>45.6079</v>
      </c>
      <c r="H222" s="99" t="s">
        <v>434</v>
      </c>
      <c r="I222" s="99" t="s">
        <v>596</v>
      </c>
    </row>
    <row r="223">
      <c r="B223" s="99" t="s">
        <v>20</v>
      </c>
      <c r="C223" s="99" t="s">
        <v>63</v>
      </c>
      <c r="D223" s="99" t="s">
        <v>453</v>
      </c>
      <c r="E223" s="99" t="s">
        <v>522</v>
      </c>
      <c r="F223" s="105">
        <v>43.95727735216103</v>
      </c>
      <c r="G223" s="105">
        <v>44.1459</v>
      </c>
      <c r="H223" s="99" t="s">
        <v>434</v>
      </c>
      <c r="I223" s="99" t="s">
        <v>596</v>
      </c>
    </row>
    <row r="224">
      <c r="B224" s="99" t="s">
        <v>20</v>
      </c>
      <c r="C224" s="99" t="s">
        <v>63</v>
      </c>
      <c r="D224" s="99" t="s">
        <v>455</v>
      </c>
      <c r="E224" s="99" t="s">
        <v>524</v>
      </c>
      <c r="F224" s="105">
        <v>44.77373036958096</v>
      </c>
      <c r="G224" s="105">
        <v>44.558</v>
      </c>
      <c r="H224" s="99" t="s">
        <v>434</v>
      </c>
      <c r="I224" s="99" t="s">
        <v>596</v>
      </c>
    </row>
    <row r="225">
      <c r="B225" s="99" t="s">
        <v>20</v>
      </c>
      <c r="C225" s="99" t="s">
        <v>63</v>
      </c>
      <c r="D225" s="99" t="s">
        <v>457</v>
      </c>
      <c r="E225" s="99" t="s">
        <v>525</v>
      </c>
      <c r="F225" s="105">
        <v>44.337782220354065</v>
      </c>
      <c r="G225" s="105">
        <v>44.0734</v>
      </c>
      <c r="H225" s="99" t="s">
        <v>434</v>
      </c>
      <c r="I225" s="99" t="s">
        <v>596</v>
      </c>
    </row>
    <row r="226">
      <c r="B226" s="99" t="s">
        <v>20</v>
      </c>
      <c r="C226" s="99" t="s">
        <v>63</v>
      </c>
      <c r="D226" s="99" t="s">
        <v>459</v>
      </c>
      <c r="E226" s="99" t="s">
        <v>526</v>
      </c>
      <c r="F226" s="105">
        <v>44.52226214716792</v>
      </c>
      <c r="G226" s="105">
        <v>44.4274</v>
      </c>
      <c r="H226" s="99" t="s">
        <v>434</v>
      </c>
      <c r="I226" s="99" t="s">
        <v>596</v>
      </c>
    </row>
    <row r="227">
      <c r="B227" s="99" t="s">
        <v>20</v>
      </c>
      <c r="C227" s="99" t="s">
        <v>63</v>
      </c>
      <c r="D227" s="99" t="s">
        <v>363</v>
      </c>
      <c r="E227" s="99" t="s">
        <v>527</v>
      </c>
      <c r="F227" s="105">
        <v>44.09991247589862</v>
      </c>
      <c r="G227" s="105">
        <v>44.1889</v>
      </c>
      <c r="H227" s="99" t="s">
        <v>434</v>
      </c>
      <c r="I227" s="99" t="s">
        <v>596</v>
      </c>
    </row>
    <row r="228">
      <c r="B228" s="99" t="s">
        <v>20</v>
      </c>
      <c r="C228" s="99" t="s">
        <v>63</v>
      </c>
      <c r="D228" s="99" t="s">
        <v>463</v>
      </c>
      <c r="E228" s="99" t="s">
        <v>604</v>
      </c>
      <c r="F228" s="105"/>
      <c r="G228" s="105">
        <v>44.4029</v>
      </c>
      <c r="H228" s="99" t="s">
        <v>462</v>
      </c>
      <c r="I228" s="99" t="s">
        <v>596</v>
      </c>
    </row>
    <row r="229">
      <c r="B229" s="99" t="s">
        <v>20</v>
      </c>
      <c r="C229" s="99" t="s">
        <v>63</v>
      </c>
      <c r="D229" s="99" t="s">
        <v>465</v>
      </c>
      <c r="E229" s="99" t="s">
        <v>605</v>
      </c>
      <c r="F229" s="105"/>
      <c r="G229" s="105">
        <v>43.6544</v>
      </c>
      <c r="H229" s="99" t="s">
        <v>462</v>
      </c>
      <c r="I229" s="99" t="s">
        <v>596</v>
      </c>
    </row>
    <row r="230">
      <c r="B230" s="99" t="s">
        <v>20</v>
      </c>
      <c r="C230" s="99" t="s">
        <v>63</v>
      </c>
      <c r="D230" s="99" t="s">
        <v>467</v>
      </c>
      <c r="E230" s="99" t="s">
        <v>606</v>
      </c>
      <c r="F230" s="105"/>
      <c r="G230" s="105">
        <v>43.929</v>
      </c>
      <c r="H230" s="99" t="s">
        <v>462</v>
      </c>
      <c r="I230" s="99" t="s">
        <v>596</v>
      </c>
    </row>
    <row r="231">
      <c r="B231" s="99" t="s">
        <v>20</v>
      </c>
      <c r="C231" s="99" t="s">
        <v>63</v>
      </c>
      <c r="D231" s="99" t="s">
        <v>345</v>
      </c>
      <c r="E231" s="99" t="s">
        <v>607</v>
      </c>
      <c r="F231" s="105"/>
      <c r="G231" s="105">
        <v>44.9905</v>
      </c>
      <c r="H231" s="99" t="s">
        <v>462</v>
      </c>
      <c r="I231" s="99" t="s">
        <v>596</v>
      </c>
    </row>
    <row r="232">
      <c r="B232" s="99" t="s">
        <v>20</v>
      </c>
      <c r="C232" s="99" t="s">
        <v>63</v>
      </c>
      <c r="D232" s="99" t="s">
        <v>349</v>
      </c>
      <c r="E232" s="99" t="s">
        <v>608</v>
      </c>
      <c r="F232" s="105"/>
      <c r="G232" s="105">
        <v>46.2925</v>
      </c>
      <c r="H232" s="99" t="s">
        <v>462</v>
      </c>
      <c r="I232" s="99" t="s">
        <v>596</v>
      </c>
    </row>
    <row r="233">
      <c r="B233" s="99" t="s">
        <v>20</v>
      </c>
      <c r="C233" s="99" t="s">
        <v>63</v>
      </c>
      <c r="D233" s="99" t="s">
        <v>371</v>
      </c>
      <c r="E233" s="99" t="s">
        <v>609</v>
      </c>
      <c r="F233" s="105"/>
      <c r="G233" s="105">
        <v>45.0722</v>
      </c>
      <c r="H233" s="99" t="s">
        <v>462</v>
      </c>
      <c r="I233" s="99" t="s">
        <v>596</v>
      </c>
    </row>
    <row r="234">
      <c r="B234" s="99" t="s">
        <v>21</v>
      </c>
      <c r="C234" s="99" t="s">
        <v>60</v>
      </c>
      <c r="D234" s="99" t="s">
        <v>363</v>
      </c>
      <c r="E234" s="99" t="s">
        <v>469</v>
      </c>
      <c r="F234" s="104">
        <v>0.0414284699121956</v>
      </c>
      <c r="G234" s="104">
        <v>0.041428469807</v>
      </c>
      <c r="H234" s="99" t="s">
        <v>434</v>
      </c>
      <c r="I234" s="99" t="s">
        <v>387</v>
      </c>
    </row>
    <row r="235">
      <c r="B235" s="99" t="s">
        <v>21</v>
      </c>
      <c r="C235" s="99" t="s">
        <v>60</v>
      </c>
      <c r="D235" s="99" t="s">
        <v>463</v>
      </c>
      <c r="E235" s="99" t="s">
        <v>578</v>
      </c>
      <c r="F235" s="104"/>
      <c r="G235" s="104">
        <v>0.043917196597</v>
      </c>
      <c r="H235" s="99" t="s">
        <v>462</v>
      </c>
      <c r="I235" s="99" t="s">
        <v>387</v>
      </c>
    </row>
    <row r="236">
      <c r="B236" s="99" t="s">
        <v>21</v>
      </c>
      <c r="C236" s="99" t="s">
        <v>60</v>
      </c>
      <c r="D236" s="99" t="s">
        <v>465</v>
      </c>
      <c r="E236" s="99" t="s">
        <v>579</v>
      </c>
      <c r="F236" s="104"/>
      <c r="G236" s="104">
        <v>0.047249068792</v>
      </c>
      <c r="H236" s="99" t="s">
        <v>462</v>
      </c>
      <c r="I236" s="99" t="s">
        <v>387</v>
      </c>
    </row>
    <row r="237">
      <c r="B237" s="99" t="s">
        <v>21</v>
      </c>
      <c r="C237" s="99" t="s">
        <v>60</v>
      </c>
      <c r="D237" s="99" t="s">
        <v>467</v>
      </c>
      <c r="E237" s="99" t="s">
        <v>580</v>
      </c>
      <c r="F237" s="104"/>
      <c r="G237" s="104">
        <v>0.046413275481</v>
      </c>
      <c r="H237" s="99" t="s">
        <v>462</v>
      </c>
      <c r="I237" s="99" t="s">
        <v>387</v>
      </c>
    </row>
    <row r="238">
      <c r="B238" s="99" t="s">
        <v>21</v>
      </c>
      <c r="C238" s="99" t="s">
        <v>60</v>
      </c>
      <c r="D238" s="99" t="s">
        <v>345</v>
      </c>
      <c r="E238" s="99" t="s">
        <v>581</v>
      </c>
      <c r="F238" s="104"/>
      <c r="G238" s="104">
        <v>0.044430246091</v>
      </c>
      <c r="H238" s="99" t="s">
        <v>462</v>
      </c>
      <c r="I238" s="99" t="s">
        <v>387</v>
      </c>
    </row>
    <row r="239">
      <c r="B239" s="99" t="s">
        <v>21</v>
      </c>
      <c r="C239" s="99" t="s">
        <v>60</v>
      </c>
      <c r="D239" s="99" t="s">
        <v>349</v>
      </c>
      <c r="E239" s="99" t="s">
        <v>582</v>
      </c>
      <c r="F239" s="104"/>
      <c r="G239" s="104">
        <v>0.04223452726</v>
      </c>
      <c r="H239" s="99" t="s">
        <v>462</v>
      </c>
      <c r="I239" s="99" t="s">
        <v>387</v>
      </c>
    </row>
    <row r="240">
      <c r="B240" s="99" t="s">
        <v>21</v>
      </c>
      <c r="C240" s="99" t="s">
        <v>61</v>
      </c>
      <c r="D240" s="99" t="s">
        <v>457</v>
      </c>
      <c r="E240" s="99" t="s">
        <v>510</v>
      </c>
      <c r="F240" s="104">
        <v>0.027999999999999997</v>
      </c>
      <c r="G240" s="104">
        <v>0.027824621</v>
      </c>
      <c r="H240" s="99" t="s">
        <v>434</v>
      </c>
      <c r="I240" s="99" t="s">
        <v>390</v>
      </c>
    </row>
    <row r="241">
      <c r="B241" s="99" t="s">
        <v>21</v>
      </c>
      <c r="C241" s="99" t="s">
        <v>61</v>
      </c>
      <c r="D241" s="99" t="s">
        <v>459</v>
      </c>
      <c r="E241" s="99" t="s">
        <v>511</v>
      </c>
      <c r="F241" s="104">
        <v>0.024</v>
      </c>
      <c r="G241" s="104">
        <v>0.023702874</v>
      </c>
      <c r="H241" s="99" t="s">
        <v>434</v>
      </c>
      <c r="I241" s="99" t="s">
        <v>390</v>
      </c>
    </row>
    <row r="242">
      <c r="B242" s="99" t="s">
        <v>21</v>
      </c>
      <c r="C242" s="99" t="s">
        <v>61</v>
      </c>
      <c r="D242" s="99" t="s">
        <v>363</v>
      </c>
      <c r="E242" s="99" t="s">
        <v>512</v>
      </c>
      <c r="F242" s="104">
        <v>0.027999999999999997</v>
      </c>
      <c r="G242" s="104">
        <v>0.028319406</v>
      </c>
      <c r="H242" s="99" t="s">
        <v>434</v>
      </c>
      <c r="I242" s="99" t="s">
        <v>390</v>
      </c>
    </row>
    <row r="243">
      <c r="B243" s="99" t="s">
        <v>21</v>
      </c>
      <c r="C243" s="99" t="s">
        <v>61</v>
      </c>
      <c r="D243" s="99" t="s">
        <v>463</v>
      </c>
      <c r="E243" s="99" t="s">
        <v>513</v>
      </c>
      <c r="F243" s="104"/>
      <c r="G243" s="104">
        <v>0.039570012</v>
      </c>
      <c r="H243" s="99" t="s">
        <v>462</v>
      </c>
      <c r="I243" s="99" t="s">
        <v>390</v>
      </c>
    </row>
    <row r="244">
      <c r="B244" s="99" t="s">
        <v>21</v>
      </c>
      <c r="C244" s="99" t="s">
        <v>61</v>
      </c>
      <c r="D244" s="99" t="s">
        <v>465</v>
      </c>
      <c r="E244" s="99" t="s">
        <v>583</v>
      </c>
      <c r="F244" s="104"/>
      <c r="G244" s="104">
        <v>0.039308176</v>
      </c>
      <c r="H244" s="99" t="s">
        <v>462</v>
      </c>
      <c r="I244" s="99" t="s">
        <v>390</v>
      </c>
    </row>
    <row r="245">
      <c r="B245" s="99" t="s">
        <v>21</v>
      </c>
      <c r="C245" s="99" t="s">
        <v>61</v>
      </c>
      <c r="D245" s="99" t="s">
        <v>467</v>
      </c>
      <c r="E245" s="99" t="s">
        <v>584</v>
      </c>
      <c r="F245" s="104"/>
      <c r="G245" s="104">
        <v>0.043369242</v>
      </c>
      <c r="H245" s="99" t="s">
        <v>462</v>
      </c>
      <c r="I245" s="99" t="s">
        <v>390</v>
      </c>
    </row>
    <row r="246">
      <c r="B246" s="99" t="s">
        <v>21</v>
      </c>
      <c r="C246" s="99" t="s">
        <v>61</v>
      </c>
      <c r="D246" s="99" t="s">
        <v>345</v>
      </c>
      <c r="E246" s="99" t="s">
        <v>585</v>
      </c>
      <c r="F246" s="104"/>
      <c r="G246" s="104">
        <v>0.035260541</v>
      </c>
      <c r="H246" s="99" t="s">
        <v>462</v>
      </c>
      <c r="I246" s="99" t="s">
        <v>390</v>
      </c>
    </row>
    <row r="247">
      <c r="B247" s="99" t="s">
        <v>21</v>
      </c>
      <c r="C247" s="99" t="s">
        <v>61</v>
      </c>
      <c r="D247" s="99" t="s">
        <v>349</v>
      </c>
      <c r="E247" s="99" t="s">
        <v>586</v>
      </c>
      <c r="F247" s="104"/>
      <c r="G247" s="104">
        <v>0.041321553</v>
      </c>
      <c r="H247" s="99" t="s">
        <v>462</v>
      </c>
      <c r="I247" s="99" t="s">
        <v>390</v>
      </c>
    </row>
    <row r="248">
      <c r="B248" s="99" t="s">
        <v>21</v>
      </c>
      <c r="C248" s="99" t="s">
        <v>62</v>
      </c>
      <c r="D248" s="99" t="s">
        <v>457</v>
      </c>
      <c r="E248" s="99" t="s">
        <v>519</v>
      </c>
      <c r="F248" s="104">
        <v>0.0504</v>
      </c>
      <c r="G248" s="104">
        <v>0.053536</v>
      </c>
      <c r="H248" s="99" t="s">
        <v>434</v>
      </c>
      <c r="I248" s="99" t="s">
        <v>393</v>
      </c>
    </row>
    <row r="249">
      <c r="B249" s="99" t="s">
        <v>21</v>
      </c>
      <c r="C249" s="99" t="s">
        <v>62</v>
      </c>
      <c r="D249" s="99" t="s">
        <v>363</v>
      </c>
      <c r="E249" s="99" t="s">
        <v>521</v>
      </c>
      <c r="F249" s="104">
        <v>0.0556</v>
      </c>
      <c r="G249" s="104">
        <v>0.055589</v>
      </c>
      <c r="H249" s="99" t="s">
        <v>434</v>
      </c>
      <c r="I249" s="99" t="s">
        <v>393</v>
      </c>
    </row>
    <row r="250">
      <c r="B250" s="99" t="s">
        <v>21</v>
      </c>
      <c r="C250" s="99" t="s">
        <v>62</v>
      </c>
      <c r="D250" s="99" t="s">
        <v>463</v>
      </c>
      <c r="E250" s="99" t="s">
        <v>588</v>
      </c>
      <c r="F250" s="104"/>
      <c r="G250" s="104">
        <v>0.056813</v>
      </c>
      <c r="H250" s="99" t="s">
        <v>462</v>
      </c>
      <c r="I250" s="99" t="s">
        <v>393</v>
      </c>
    </row>
    <row r="251">
      <c r="B251" s="99" t="s">
        <v>21</v>
      </c>
      <c r="C251" s="99" t="s">
        <v>62</v>
      </c>
      <c r="D251" s="99" t="s">
        <v>465</v>
      </c>
      <c r="E251" s="99" t="s">
        <v>590</v>
      </c>
      <c r="F251" s="104"/>
      <c r="G251" s="104">
        <v>0.058421</v>
      </c>
      <c r="H251" s="99" t="s">
        <v>462</v>
      </c>
      <c r="I251" s="99" t="s">
        <v>393</v>
      </c>
    </row>
    <row r="252">
      <c r="B252" s="99" t="s">
        <v>21</v>
      </c>
      <c r="C252" s="99" t="s">
        <v>62</v>
      </c>
      <c r="D252" s="99" t="s">
        <v>467</v>
      </c>
      <c r="E252" s="99" t="s">
        <v>591</v>
      </c>
      <c r="F252" s="104"/>
      <c r="G252" s="104">
        <v>0.061437</v>
      </c>
      <c r="H252" s="99" t="s">
        <v>462</v>
      </c>
      <c r="I252" s="99" t="s">
        <v>393</v>
      </c>
    </row>
    <row r="253">
      <c r="B253" s="99" t="s">
        <v>21</v>
      </c>
      <c r="C253" s="99" t="s">
        <v>62</v>
      </c>
      <c r="D253" s="99" t="s">
        <v>345</v>
      </c>
      <c r="E253" s="99" t="s">
        <v>592</v>
      </c>
      <c r="F253" s="104"/>
      <c r="G253" s="104">
        <v>0.060263</v>
      </c>
      <c r="H253" s="99" t="s">
        <v>462</v>
      </c>
      <c r="I253" s="99" t="s">
        <v>393</v>
      </c>
    </row>
    <row r="254">
      <c r="B254" s="99" t="s">
        <v>21</v>
      </c>
      <c r="C254" s="99" t="s">
        <v>62</v>
      </c>
      <c r="D254" s="99" t="s">
        <v>349</v>
      </c>
      <c r="E254" s="99" t="s">
        <v>593</v>
      </c>
      <c r="F254" s="104"/>
      <c r="G254" s="104">
        <v>0.062417</v>
      </c>
      <c r="H254" s="99" t="s">
        <v>462</v>
      </c>
      <c r="I254" s="99" t="s">
        <v>393</v>
      </c>
    </row>
    <row r="255">
      <c r="B255" s="99" t="s">
        <v>21</v>
      </c>
      <c r="C255" s="99" t="s">
        <v>63</v>
      </c>
      <c r="D255" s="99" t="s">
        <v>457</v>
      </c>
      <c r="E255" s="99" t="s">
        <v>525</v>
      </c>
      <c r="F255" s="104">
        <v>0.0379</v>
      </c>
      <c r="G255" s="104">
        <v>0.03791301</v>
      </c>
      <c r="H255" s="99" t="s">
        <v>434</v>
      </c>
      <c r="I255" s="99" t="s">
        <v>396</v>
      </c>
    </row>
    <row r="256">
      <c r="B256" s="99" t="s">
        <v>21</v>
      </c>
      <c r="C256" s="99" t="s">
        <v>63</v>
      </c>
      <c r="D256" s="99" t="s">
        <v>459</v>
      </c>
      <c r="E256" s="99" t="s">
        <v>526</v>
      </c>
      <c r="F256" s="104">
        <v>0.04019999999999999</v>
      </c>
      <c r="G256" s="104">
        <v>0.04023038</v>
      </c>
      <c r="H256" s="99" t="s">
        <v>434</v>
      </c>
      <c r="I256" s="99" t="s">
        <v>396</v>
      </c>
    </row>
    <row r="257">
      <c r="B257" s="99" t="s">
        <v>21</v>
      </c>
      <c r="C257" s="99" t="s">
        <v>63</v>
      </c>
      <c r="D257" s="99" t="s">
        <v>363</v>
      </c>
      <c r="E257" s="99" t="s">
        <v>527</v>
      </c>
      <c r="F257" s="104">
        <v>0.045899999999999996</v>
      </c>
      <c r="G257" s="104">
        <v>0.04586774</v>
      </c>
      <c r="H257" s="99" t="s">
        <v>434</v>
      </c>
      <c r="I257" s="99" t="s">
        <v>396</v>
      </c>
    </row>
    <row r="258">
      <c r="B258" s="99" t="s">
        <v>21</v>
      </c>
      <c r="C258" s="99" t="s">
        <v>63</v>
      </c>
      <c r="D258" s="99" t="s">
        <v>463</v>
      </c>
      <c r="E258" s="99" t="s">
        <v>604</v>
      </c>
      <c r="F258" s="104"/>
      <c r="G258" s="104">
        <v>0.04448503</v>
      </c>
      <c r="H258" s="99" t="s">
        <v>462</v>
      </c>
      <c r="I258" s="99" t="s">
        <v>396</v>
      </c>
    </row>
    <row r="259">
      <c r="B259" s="99" t="s">
        <v>21</v>
      </c>
      <c r="C259" s="99" t="s">
        <v>63</v>
      </c>
      <c r="D259" s="99" t="s">
        <v>465</v>
      </c>
      <c r="E259" s="99" t="s">
        <v>605</v>
      </c>
      <c r="F259" s="104"/>
      <c r="G259" s="104">
        <v>0.03938948</v>
      </c>
      <c r="H259" s="99" t="s">
        <v>462</v>
      </c>
      <c r="I259" s="99" t="s">
        <v>396</v>
      </c>
    </row>
    <row r="260">
      <c r="B260" s="99" t="s">
        <v>21</v>
      </c>
      <c r="C260" s="99" t="s">
        <v>63</v>
      </c>
      <c r="D260" s="99" t="s">
        <v>467</v>
      </c>
      <c r="E260" s="99" t="s">
        <v>606</v>
      </c>
      <c r="F260" s="104"/>
      <c r="G260" s="104">
        <v>0.03365977</v>
      </c>
      <c r="H260" s="99" t="s">
        <v>462</v>
      </c>
      <c r="I260" s="99" t="s">
        <v>396</v>
      </c>
    </row>
    <row r="261">
      <c r="B261" s="99" t="s">
        <v>21</v>
      </c>
      <c r="C261" s="99" t="s">
        <v>63</v>
      </c>
      <c r="D261" s="99" t="s">
        <v>345</v>
      </c>
      <c r="E261" s="99" t="s">
        <v>607</v>
      </c>
      <c r="F261" s="104"/>
      <c r="G261" s="104">
        <v>0.0311763</v>
      </c>
      <c r="H261" s="99" t="s">
        <v>462</v>
      </c>
      <c r="I261" s="99" t="s">
        <v>396</v>
      </c>
    </row>
    <row r="262">
      <c r="B262" s="99" t="s">
        <v>21</v>
      </c>
      <c r="C262" s="99" t="s">
        <v>63</v>
      </c>
      <c r="D262" s="99" t="s">
        <v>349</v>
      </c>
      <c r="E262" s="99" t="s">
        <v>608</v>
      </c>
      <c r="F262" s="104"/>
      <c r="G262" s="104">
        <v>0.03261942</v>
      </c>
      <c r="H262" s="99" t="s">
        <v>462</v>
      </c>
      <c r="I262" s="99" t="s">
        <v>396</v>
      </c>
    </row>
    <row r="263">
      <c r="B263" s="99" t="s">
        <v>21</v>
      </c>
      <c r="C263" s="99" t="s">
        <v>64</v>
      </c>
      <c r="D263" s="99" t="s">
        <v>443</v>
      </c>
      <c r="E263" s="99" t="s">
        <v>532</v>
      </c>
      <c r="F263" s="104">
        <v>0.0169700167062341</v>
      </c>
      <c r="G263" s="104">
        <v>0.016937090458</v>
      </c>
      <c r="H263" s="99" t="s">
        <v>434</v>
      </c>
      <c r="I263" s="99" t="s">
        <v>399</v>
      </c>
    </row>
    <row r="264">
      <c r="B264" s="99" t="s">
        <v>21</v>
      </c>
      <c r="C264" s="99" t="s">
        <v>64</v>
      </c>
      <c r="D264" s="99" t="s">
        <v>445</v>
      </c>
      <c r="E264" s="99" t="s">
        <v>533</v>
      </c>
      <c r="F264" s="104">
        <v>0.016842105263158</v>
      </c>
      <c r="G264" s="104">
        <v>0.016888009685</v>
      </c>
      <c r="H264" s="99" t="s">
        <v>434</v>
      </c>
      <c r="I264" s="99" t="s">
        <v>399</v>
      </c>
    </row>
    <row r="265">
      <c r="B265" s="99" t="s">
        <v>21</v>
      </c>
      <c r="C265" s="99" t="s">
        <v>64</v>
      </c>
      <c r="D265" s="99" t="s">
        <v>447</v>
      </c>
      <c r="E265" s="99" t="s">
        <v>534</v>
      </c>
      <c r="F265" s="104">
        <v>0.0111091672498251</v>
      </c>
      <c r="G265" s="104">
        <v>0.011063307753</v>
      </c>
      <c r="H265" s="99" t="s">
        <v>434</v>
      </c>
      <c r="I265" s="99" t="s">
        <v>399</v>
      </c>
    </row>
    <row r="266">
      <c r="B266" s="99" t="s">
        <v>21</v>
      </c>
      <c r="C266" s="99" t="s">
        <v>64</v>
      </c>
      <c r="D266" s="99" t="s">
        <v>449</v>
      </c>
      <c r="E266" s="99" t="s">
        <v>535</v>
      </c>
      <c r="F266" s="104">
        <v>0.0135905304690924</v>
      </c>
      <c r="G266" s="104">
        <v>0.013583934214</v>
      </c>
      <c r="H266" s="99" t="s">
        <v>434</v>
      </c>
      <c r="I266" s="99" t="s">
        <v>399</v>
      </c>
    </row>
    <row r="267">
      <c r="B267" s="99" t="s">
        <v>21</v>
      </c>
      <c r="C267" s="99" t="s">
        <v>64</v>
      </c>
      <c r="D267" s="99" t="s">
        <v>451</v>
      </c>
      <c r="E267" s="99" t="s">
        <v>536</v>
      </c>
      <c r="F267" s="104">
        <v>0.0135158855538002</v>
      </c>
      <c r="G267" s="104">
        <v>0.013517747565</v>
      </c>
      <c r="H267" s="99" t="s">
        <v>434</v>
      </c>
      <c r="I267" s="99" t="s">
        <v>399</v>
      </c>
    </row>
    <row r="268">
      <c r="B268" s="99" t="s">
        <v>21</v>
      </c>
      <c r="C268" s="99" t="s">
        <v>64</v>
      </c>
      <c r="D268" s="99" t="s">
        <v>453</v>
      </c>
      <c r="E268" s="99" t="s">
        <v>537</v>
      </c>
      <c r="F268" s="104">
        <v>0.0136782113108287</v>
      </c>
      <c r="G268" s="104">
        <v>0.013686125699</v>
      </c>
      <c r="H268" s="99" t="s">
        <v>434</v>
      </c>
      <c r="I268" s="99" t="s">
        <v>399</v>
      </c>
    </row>
    <row r="269">
      <c r="B269" s="99" t="s">
        <v>21</v>
      </c>
      <c r="C269" s="99" t="s">
        <v>64</v>
      </c>
      <c r="D269" s="99" t="s">
        <v>455</v>
      </c>
      <c r="E269" s="99" t="s">
        <v>538</v>
      </c>
      <c r="F269" s="104">
        <v>0.0150652535692388</v>
      </c>
      <c r="G269" s="104">
        <v>0.015087997392</v>
      </c>
      <c r="H269" s="99" t="s">
        <v>434</v>
      </c>
      <c r="I269" s="99" t="s">
        <v>399</v>
      </c>
    </row>
    <row r="270">
      <c r="B270" s="99" t="s">
        <v>21</v>
      </c>
      <c r="C270" s="99" t="s">
        <v>64</v>
      </c>
      <c r="D270" s="99" t="s">
        <v>457</v>
      </c>
      <c r="E270" s="99" t="s">
        <v>539</v>
      </c>
      <c r="F270" s="104">
        <v>0.0170071009029544</v>
      </c>
      <c r="G270" s="104">
        <v>0.017009169483</v>
      </c>
      <c r="H270" s="99" t="s">
        <v>434</v>
      </c>
      <c r="I270" s="99" t="s">
        <v>399</v>
      </c>
    </row>
    <row r="271">
      <c r="B271" s="99" t="s">
        <v>21</v>
      </c>
      <c r="C271" s="99" t="s">
        <v>64</v>
      </c>
      <c r="D271" s="99" t="s">
        <v>459</v>
      </c>
      <c r="E271" s="99" t="s">
        <v>540</v>
      </c>
      <c r="F271" s="104">
        <v>0.0221386069303464</v>
      </c>
      <c r="G271" s="104">
        <v>0.022141662577</v>
      </c>
      <c r="H271" s="99" t="s">
        <v>434</v>
      </c>
      <c r="I271" s="99" t="s">
        <v>399</v>
      </c>
    </row>
    <row r="272">
      <c r="B272" s="99" t="s">
        <v>21</v>
      </c>
      <c r="C272" s="99" t="s">
        <v>64</v>
      </c>
      <c r="D272" s="99" t="s">
        <v>363</v>
      </c>
      <c r="E272" s="99" t="s">
        <v>541</v>
      </c>
      <c r="F272" s="104">
        <v>0.038017533200243</v>
      </c>
      <c r="G272" s="104">
        <v>0.038045458129</v>
      </c>
      <c r="H272" s="99" t="s">
        <v>434</v>
      </c>
      <c r="I272" s="99" t="s">
        <v>399</v>
      </c>
    </row>
    <row r="273">
      <c r="B273" s="99" t="s">
        <v>21</v>
      </c>
      <c r="C273" s="99" t="s">
        <v>64</v>
      </c>
      <c r="D273" s="99" t="s">
        <v>463</v>
      </c>
      <c r="E273" s="99" t="s">
        <v>610</v>
      </c>
      <c r="F273" s="104"/>
      <c r="G273" s="104">
        <v>0.040141436347</v>
      </c>
      <c r="H273" s="99" t="s">
        <v>462</v>
      </c>
      <c r="I273" s="99" t="s">
        <v>399</v>
      </c>
    </row>
    <row r="274">
      <c r="B274" s="99" t="s">
        <v>21</v>
      </c>
      <c r="C274" s="99" t="s">
        <v>64</v>
      </c>
      <c r="D274" s="99" t="s">
        <v>465</v>
      </c>
      <c r="E274" s="99" t="s">
        <v>611</v>
      </c>
      <c r="F274" s="104"/>
      <c r="G274" s="104">
        <v>0.039050524062</v>
      </c>
      <c r="H274" s="99" t="s">
        <v>462</v>
      </c>
      <c r="I274" s="99" t="s">
        <v>399</v>
      </c>
    </row>
    <row r="275">
      <c r="B275" s="99" t="s">
        <v>21</v>
      </c>
      <c r="C275" s="99" t="s">
        <v>64</v>
      </c>
      <c r="D275" s="99" t="s">
        <v>467</v>
      </c>
      <c r="E275" s="99" t="s">
        <v>612</v>
      </c>
      <c r="F275" s="104"/>
      <c r="G275" s="104">
        <v>0.040089096565</v>
      </c>
      <c r="H275" s="99" t="s">
        <v>462</v>
      </c>
      <c r="I275" s="99" t="s">
        <v>399</v>
      </c>
    </row>
    <row r="276">
      <c r="B276" s="99" t="s">
        <v>21</v>
      </c>
      <c r="C276" s="99" t="s">
        <v>64</v>
      </c>
      <c r="D276" s="99" t="s">
        <v>345</v>
      </c>
      <c r="E276" s="99" t="s">
        <v>613</v>
      </c>
      <c r="F276" s="104"/>
      <c r="G276" s="104">
        <v>0.040651525621</v>
      </c>
      <c r="H276" s="99" t="s">
        <v>462</v>
      </c>
      <c r="I276" s="99" t="s">
        <v>399</v>
      </c>
    </row>
    <row r="277">
      <c r="B277" s="99" t="s">
        <v>21</v>
      </c>
      <c r="C277" s="99" t="s">
        <v>64</v>
      </c>
      <c r="D277" s="99" t="s">
        <v>349</v>
      </c>
      <c r="E277" s="99" t="s">
        <v>614</v>
      </c>
      <c r="F277" s="104"/>
      <c r="G277" s="104">
        <v>0.044378092978</v>
      </c>
      <c r="H277" s="99" t="s">
        <v>462</v>
      </c>
      <c r="I277" s="99" t="s">
        <v>399</v>
      </c>
    </row>
    <row r="278">
      <c r="B278" s="99" t="s">
        <v>21</v>
      </c>
      <c r="C278" s="99" t="s">
        <v>64</v>
      </c>
      <c r="D278" s="99" t="s">
        <v>371</v>
      </c>
      <c r="E278" s="99" t="s">
        <v>615</v>
      </c>
      <c r="F278" s="104"/>
      <c r="G278" s="104">
        <v>0.045486546948</v>
      </c>
      <c r="H278" s="99" t="s">
        <v>462</v>
      </c>
      <c r="I278" s="99" t="s">
        <v>399</v>
      </c>
    </row>
    <row r="279">
      <c r="B279" s="99" t="s">
        <v>21</v>
      </c>
      <c r="C279" s="99" t="s">
        <v>243</v>
      </c>
      <c r="D279" s="99" t="s">
        <v>457</v>
      </c>
      <c r="E279" s="99" t="s">
        <v>616</v>
      </c>
      <c r="F279" s="104">
        <v>0.023912</v>
      </c>
      <c r="G279" s="104">
        <v>0.02386431</v>
      </c>
      <c r="H279" s="99" t="s">
        <v>434</v>
      </c>
      <c r="I279" s="99" t="s">
        <v>402</v>
      </c>
    </row>
    <row r="280">
      <c r="B280" s="99" t="s">
        <v>21</v>
      </c>
      <c r="C280" s="99" t="s">
        <v>243</v>
      </c>
      <c r="D280" s="99" t="s">
        <v>459</v>
      </c>
      <c r="E280" s="99" t="s">
        <v>617</v>
      </c>
      <c r="F280" s="104">
        <v>0.02434</v>
      </c>
      <c r="G280" s="104">
        <v>0.02414113</v>
      </c>
      <c r="H280" s="99" t="s">
        <v>434</v>
      </c>
      <c r="I280" s="99" t="s">
        <v>402</v>
      </c>
    </row>
    <row r="281">
      <c r="B281" s="99" t="s">
        <v>21</v>
      </c>
      <c r="C281" s="99" t="s">
        <v>243</v>
      </c>
      <c r="D281" s="99" t="s">
        <v>363</v>
      </c>
      <c r="E281" s="99" t="s">
        <v>618</v>
      </c>
      <c r="F281" s="104">
        <v>0.0328596</v>
      </c>
      <c r="G281" s="104">
        <v>0.0325642</v>
      </c>
      <c r="H281" s="99" t="s">
        <v>434</v>
      </c>
      <c r="I281" s="99" t="s">
        <v>402</v>
      </c>
    </row>
    <row r="282">
      <c r="B282" s="99" t="s">
        <v>21</v>
      </c>
      <c r="C282" s="99" t="s">
        <v>243</v>
      </c>
      <c r="D282" s="99" t="s">
        <v>463</v>
      </c>
      <c r="E282" s="99" t="s">
        <v>619</v>
      </c>
      <c r="F282" s="104">
        <v>0.0377925</v>
      </c>
      <c r="G282" s="104">
        <v>0.03810845</v>
      </c>
      <c r="H282" s="99" t="s">
        <v>434</v>
      </c>
      <c r="I282" s="99" t="s">
        <v>402</v>
      </c>
    </row>
    <row r="283">
      <c r="B283" s="99" t="s">
        <v>21</v>
      </c>
      <c r="C283" s="99" t="s">
        <v>243</v>
      </c>
      <c r="D283" s="99" t="s">
        <v>465</v>
      </c>
      <c r="E283" s="99" t="s">
        <v>620</v>
      </c>
      <c r="F283" s="104">
        <v>0.041666100000000005</v>
      </c>
      <c r="G283" s="104">
        <v>0.04248674</v>
      </c>
      <c r="H283" s="99" t="s">
        <v>434</v>
      </c>
      <c r="I283" s="99" t="s">
        <v>402</v>
      </c>
    </row>
    <row r="284">
      <c r="B284" s="99" t="s">
        <v>21</v>
      </c>
      <c r="C284" s="99" t="s">
        <v>243</v>
      </c>
      <c r="D284" s="99" t="s">
        <v>467</v>
      </c>
      <c r="E284" s="99" t="s">
        <v>621</v>
      </c>
      <c r="F284" s="104">
        <v>0.0346353</v>
      </c>
      <c r="G284" s="104">
        <v>0.03531425</v>
      </c>
      <c r="H284" s="99" t="s">
        <v>434</v>
      </c>
      <c r="I284" s="99" t="s">
        <v>402</v>
      </c>
    </row>
    <row r="285">
      <c r="B285" s="99" t="s">
        <v>21</v>
      </c>
      <c r="C285" s="99" t="s">
        <v>243</v>
      </c>
      <c r="D285" s="99" t="s">
        <v>345</v>
      </c>
      <c r="E285" s="99" t="s">
        <v>622</v>
      </c>
      <c r="F285" s="104">
        <v>0.0330386</v>
      </c>
      <c r="G285" s="104">
        <v>0.03364825</v>
      </c>
      <c r="H285" s="99" t="s">
        <v>434</v>
      </c>
      <c r="I285" s="99" t="s">
        <v>402</v>
      </c>
    </row>
    <row r="286">
      <c r="B286" s="99" t="s">
        <v>21</v>
      </c>
      <c r="C286" s="99" t="s">
        <v>243</v>
      </c>
      <c r="D286" s="99" t="s">
        <v>349</v>
      </c>
      <c r="E286" s="99" t="s">
        <v>623</v>
      </c>
      <c r="F286" s="104">
        <v>0.034</v>
      </c>
      <c r="G286" s="104">
        <v>0.03396548</v>
      </c>
      <c r="H286" s="99" t="s">
        <v>434</v>
      </c>
      <c r="I286" s="99" t="s">
        <v>402</v>
      </c>
    </row>
    <row r="287">
      <c r="B287" s="99" t="s">
        <v>408</v>
      </c>
      <c r="C287" s="99" t="s">
        <v>60</v>
      </c>
      <c r="D287" s="99" t="s">
        <v>465</v>
      </c>
      <c r="E287" s="99" t="s">
        <v>458</v>
      </c>
      <c r="F287" s="104"/>
      <c r="G287" s="104">
        <v>0.145</v>
      </c>
      <c r="H287" s="99" t="s">
        <v>462</v>
      </c>
      <c r="I287" s="99" t="s">
        <v>409</v>
      </c>
    </row>
    <row r="288">
      <c r="B288" s="99" t="s">
        <v>408</v>
      </c>
      <c r="C288" s="99" t="s">
        <v>60</v>
      </c>
      <c r="D288" s="99" t="s">
        <v>467</v>
      </c>
      <c r="E288" s="99" t="s">
        <v>460</v>
      </c>
      <c r="F288" s="104"/>
      <c r="G288" s="104">
        <v>0.1425</v>
      </c>
      <c r="H288" s="99" t="s">
        <v>462</v>
      </c>
      <c r="I288" s="99" t="s">
        <v>409</v>
      </c>
    </row>
    <row r="289">
      <c r="B289" s="99" t="s">
        <v>408</v>
      </c>
      <c r="C289" s="99" t="s">
        <v>60</v>
      </c>
      <c r="D289" s="99" t="s">
        <v>345</v>
      </c>
      <c r="E289" s="99" t="s">
        <v>461</v>
      </c>
      <c r="F289" s="104"/>
      <c r="G289" s="104">
        <v>0.1425</v>
      </c>
      <c r="H289" s="99" t="s">
        <v>462</v>
      </c>
      <c r="I289" s="99" t="s">
        <v>409</v>
      </c>
    </row>
    <row r="290">
      <c r="B290" s="99" t="s">
        <v>408</v>
      </c>
      <c r="C290" s="99" t="s">
        <v>60</v>
      </c>
      <c r="D290" s="99" t="s">
        <v>349</v>
      </c>
      <c r="E290" s="99" t="s">
        <v>464</v>
      </c>
      <c r="F290" s="104"/>
      <c r="G290" s="104">
        <v>0.14</v>
      </c>
      <c r="H290" s="99" t="s">
        <v>462</v>
      </c>
      <c r="I290" s="99" t="s">
        <v>409</v>
      </c>
    </row>
    <row r="291">
      <c r="B291" s="99" t="s">
        <v>408</v>
      </c>
      <c r="C291" s="99" t="s">
        <v>60</v>
      </c>
      <c r="D291" s="99" t="s">
        <v>371</v>
      </c>
      <c r="E291" s="99" t="s">
        <v>466</v>
      </c>
      <c r="F291" s="104"/>
      <c r="G291" s="104">
        <v>0.1375</v>
      </c>
      <c r="H291" s="99" t="s">
        <v>462</v>
      </c>
      <c r="I291" s="99" t="s">
        <v>409</v>
      </c>
    </row>
    <row r="292">
      <c r="B292" s="99" t="s">
        <v>408</v>
      </c>
      <c r="C292" s="99" t="s">
        <v>61</v>
      </c>
      <c r="D292" s="99" t="s">
        <v>457</v>
      </c>
      <c r="E292" s="99" t="s">
        <v>502</v>
      </c>
      <c r="F292" s="104">
        <v>0.0475</v>
      </c>
      <c r="G292" s="104">
        <v>0.045</v>
      </c>
      <c r="H292" s="99" t="s">
        <v>434</v>
      </c>
      <c r="I292" s="99" t="s">
        <v>412</v>
      </c>
    </row>
    <row r="293">
      <c r="B293" s="99" t="s">
        <v>408</v>
      </c>
      <c r="C293" s="99" t="s">
        <v>61</v>
      </c>
      <c r="D293" s="99" t="s">
        <v>459</v>
      </c>
      <c r="E293" s="99" t="s">
        <v>503</v>
      </c>
      <c r="F293" s="104">
        <v>0.0475</v>
      </c>
      <c r="G293" s="104">
        <v>0.045</v>
      </c>
      <c r="H293" s="99" t="s">
        <v>434</v>
      </c>
      <c r="I293" s="99" t="s">
        <v>412</v>
      </c>
    </row>
    <row r="294">
      <c r="B294" s="99" t="s">
        <v>408</v>
      </c>
      <c r="C294" s="99" t="s">
        <v>61</v>
      </c>
      <c r="D294" s="99" t="s">
        <v>465</v>
      </c>
      <c r="E294" s="99" t="s">
        <v>506</v>
      </c>
      <c r="F294" s="104"/>
      <c r="G294" s="104">
        <v>0.045</v>
      </c>
      <c r="H294" s="99" t="s">
        <v>462</v>
      </c>
      <c r="I294" s="99" t="s">
        <v>412</v>
      </c>
    </row>
    <row r="295">
      <c r="B295" s="99" t="s">
        <v>408</v>
      </c>
      <c r="C295" s="99" t="s">
        <v>61</v>
      </c>
      <c r="D295" s="99" t="s">
        <v>467</v>
      </c>
      <c r="E295" s="99" t="s">
        <v>507</v>
      </c>
      <c r="F295" s="104"/>
      <c r="G295" s="104">
        <v>0.045</v>
      </c>
      <c r="H295" s="99" t="s">
        <v>462</v>
      </c>
      <c r="I295" s="99" t="s">
        <v>412</v>
      </c>
    </row>
    <row r="296">
      <c r="B296" s="99" t="s">
        <v>408</v>
      </c>
      <c r="C296" s="99" t="s">
        <v>61</v>
      </c>
      <c r="D296" s="99" t="s">
        <v>345</v>
      </c>
      <c r="E296" s="99" t="s">
        <v>508</v>
      </c>
      <c r="F296" s="104"/>
      <c r="G296" s="104">
        <v>0.045</v>
      </c>
      <c r="H296" s="99" t="s">
        <v>462</v>
      </c>
      <c r="I296" s="99" t="s">
        <v>412</v>
      </c>
    </row>
    <row r="297">
      <c r="B297" s="99" t="s">
        <v>408</v>
      </c>
      <c r="C297" s="99" t="s">
        <v>61</v>
      </c>
      <c r="D297" s="99" t="s">
        <v>349</v>
      </c>
      <c r="E297" s="99" t="s">
        <v>509</v>
      </c>
      <c r="F297" s="104"/>
      <c r="G297" s="104">
        <v>0.045</v>
      </c>
      <c r="H297" s="99" t="s">
        <v>462</v>
      </c>
      <c r="I297" s="99" t="s">
        <v>412</v>
      </c>
    </row>
    <row r="298">
      <c r="B298" s="99" t="s">
        <v>408</v>
      </c>
      <c r="C298" s="99" t="s">
        <v>61</v>
      </c>
      <c r="D298" s="99" t="s">
        <v>371</v>
      </c>
      <c r="E298" s="99" t="s">
        <v>510</v>
      </c>
      <c r="F298" s="104"/>
      <c r="G298" s="104">
        <v>0.045</v>
      </c>
      <c r="H298" s="99" t="s">
        <v>462</v>
      </c>
      <c r="I298" s="99" t="s">
        <v>412</v>
      </c>
    </row>
    <row r="299">
      <c r="B299" s="99" t="s">
        <v>408</v>
      </c>
      <c r="C299" s="99" t="s">
        <v>62</v>
      </c>
      <c r="D299" s="99" t="s">
        <v>363</v>
      </c>
      <c r="E299" s="99" t="s">
        <v>624</v>
      </c>
      <c r="F299" s="104">
        <v>0.1125</v>
      </c>
      <c r="G299" s="104">
        <v>0.1025</v>
      </c>
      <c r="H299" s="99" t="s">
        <v>434</v>
      </c>
      <c r="I299" s="99" t="s">
        <v>415</v>
      </c>
    </row>
    <row r="300">
      <c r="B300" s="99" t="s">
        <v>408</v>
      </c>
      <c r="C300" s="99" t="s">
        <v>62</v>
      </c>
      <c r="D300" s="99" t="s">
        <v>467</v>
      </c>
      <c r="E300" s="99" t="s">
        <v>516</v>
      </c>
      <c r="F300" s="104">
        <v>0.12</v>
      </c>
      <c r="G300" s="104">
        <v>0.1125</v>
      </c>
      <c r="H300" s="99" t="s">
        <v>434</v>
      </c>
      <c r="I300" s="99" t="s">
        <v>415</v>
      </c>
    </row>
    <row r="301">
      <c r="B301" s="99" t="s">
        <v>408</v>
      </c>
      <c r="C301" s="99" t="s">
        <v>62</v>
      </c>
      <c r="D301" s="99" t="s">
        <v>349</v>
      </c>
      <c r="E301" s="99" t="s">
        <v>518</v>
      </c>
      <c r="F301" s="104"/>
      <c r="G301" s="104">
        <v>0.12</v>
      </c>
      <c r="H301" s="99" t="s">
        <v>462</v>
      </c>
      <c r="I301" s="99" t="s">
        <v>415</v>
      </c>
    </row>
    <row r="302">
      <c r="B302" s="99" t="s">
        <v>408</v>
      </c>
      <c r="C302" s="99" t="s">
        <v>62</v>
      </c>
      <c r="D302" s="99" t="s">
        <v>371</v>
      </c>
      <c r="E302" s="99" t="s">
        <v>519</v>
      </c>
      <c r="F302" s="104"/>
      <c r="G302" s="104">
        <v>0.12</v>
      </c>
      <c r="H302" s="99" t="s">
        <v>462</v>
      </c>
      <c r="I302" s="99" t="s">
        <v>415</v>
      </c>
    </row>
    <row r="303">
      <c r="B303" s="99" t="s">
        <v>408</v>
      </c>
      <c r="C303" s="99" t="s">
        <v>63</v>
      </c>
      <c r="D303" s="99" t="s">
        <v>371</v>
      </c>
      <c r="E303" s="99" t="s">
        <v>525</v>
      </c>
      <c r="F303" s="104"/>
      <c r="G303" s="104">
        <v>0.065</v>
      </c>
      <c r="H303" s="99" t="s">
        <v>462</v>
      </c>
      <c r="I303" s="99" t="s">
        <v>418</v>
      </c>
    </row>
    <row r="304">
      <c r="B304" s="99" t="s">
        <v>408</v>
      </c>
      <c r="C304" s="99" t="s">
        <v>64</v>
      </c>
      <c r="D304" s="99" t="s">
        <v>465</v>
      </c>
      <c r="E304" s="99" t="s">
        <v>535</v>
      </c>
      <c r="F304" s="104"/>
      <c r="G304" s="104">
        <v>0.0425</v>
      </c>
      <c r="H304" s="99" t="s">
        <v>462</v>
      </c>
      <c r="I304" s="99" t="s">
        <v>421</v>
      </c>
    </row>
    <row r="305">
      <c r="B305" s="99" t="s">
        <v>408</v>
      </c>
      <c r="C305" s="99" t="s">
        <v>64</v>
      </c>
      <c r="D305" s="99" t="s">
        <v>467</v>
      </c>
      <c r="E305" s="99" t="s">
        <v>536</v>
      </c>
      <c r="F305" s="104"/>
      <c r="G305" s="104">
        <v>0.0425</v>
      </c>
      <c r="H305" s="99" t="s">
        <v>462</v>
      </c>
      <c r="I305" s="99" t="s">
        <v>421</v>
      </c>
    </row>
    <row r="306">
      <c r="B306" s="99" t="s">
        <v>408</v>
      </c>
      <c r="C306" s="99" t="s">
        <v>64</v>
      </c>
      <c r="D306" s="99" t="s">
        <v>345</v>
      </c>
      <c r="E306" s="99" t="s">
        <v>537</v>
      </c>
      <c r="F306" s="104"/>
      <c r="G306" s="104">
        <v>0.0425</v>
      </c>
      <c r="H306" s="99" t="s">
        <v>462</v>
      </c>
      <c r="I306" s="99" t="s">
        <v>421</v>
      </c>
    </row>
    <row r="307">
      <c r="B307" s="99" t="s">
        <v>408</v>
      </c>
      <c r="C307" s="99" t="s">
        <v>64</v>
      </c>
      <c r="D307" s="99" t="s">
        <v>349</v>
      </c>
      <c r="E307" s="99" t="s">
        <v>538</v>
      </c>
      <c r="F307" s="104"/>
      <c r="G307" s="104">
        <v>0.0425</v>
      </c>
      <c r="H307" s="99" t="s">
        <v>462</v>
      </c>
      <c r="I307" s="99" t="s">
        <v>421</v>
      </c>
    </row>
    <row r="308">
      <c r="B308" s="99" t="s">
        <v>408</v>
      </c>
      <c r="C308" s="99" t="s">
        <v>64</v>
      </c>
      <c r="D308" s="99" t="s">
        <v>371</v>
      </c>
      <c r="E308" s="99" t="s">
        <v>539</v>
      </c>
      <c r="F308" s="104"/>
      <c r="G308" s="104">
        <v>0.0425</v>
      </c>
      <c r="H308" s="99" t="s">
        <v>462</v>
      </c>
      <c r="I308" s="99" t="s">
        <v>421</v>
      </c>
    </row>
    <row r="309">
      <c r="B309" s="99" t="s">
        <v>408</v>
      </c>
      <c r="C309" s="99" t="s">
        <v>64</v>
      </c>
      <c r="D309" s="99" t="s">
        <v>367</v>
      </c>
      <c r="E309" s="99" t="s">
        <v>540</v>
      </c>
      <c r="F309" s="104"/>
      <c r="G309" s="104">
        <v>0.0425</v>
      </c>
      <c r="H309" s="99" t="s">
        <v>462</v>
      </c>
      <c r="I309" s="99" t="s">
        <v>421</v>
      </c>
    </row>
  </sheetData>
  <pageMargins left="0.4" right="0.4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Resumen</vt:lpstr>
      <vt:lpstr>Noticias</vt:lpstr>
      <vt:lpstr>1_Actividad_Economica</vt:lpstr>
      <vt:lpstr>2_Ventas_Retail</vt:lpstr>
      <vt:lpstr>3_Confianza_Empresarial</vt:lpstr>
      <vt:lpstr>4_Confianza_Consumidor</vt:lpstr>
      <vt:lpstr>5_Inflacion</vt:lpstr>
      <vt:lpstr>6_ANTAD</vt:lpstr>
      <vt:lpstr>7_TPM's</vt:lpstr>
      <vt:lpstr>Log_Actualizacion</vt:lpstr>
      <vt:lpstr>Links a revisar</vt:lpstr>
      <vt:lpstr>PIB_Corp_Colombia</vt:lpstr>
      <vt:lpstr>PIB_Corp_Mex</vt:lpstr>
      <vt:lpstr>PIB_Corp_Chile</vt:lpstr>
      <vt:lpstr>PIB_Corp_Brasil</vt:lpstr>
      <vt:lpstr>PIB_Corp_Peru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Sebastian Lozano Mur</cp:lastModifiedBy>
  <cp:revision>3</cp:revision>
  <dcterms:created xsi:type="dcterms:W3CDTF">2026-05-04T20:59:37Z</dcterms:created>
  <dcterms:modified xsi:type="dcterms:W3CDTF">2026-10-16T17:43:39Z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6a74d-126d-4156-a9df-3b44c46a12cb_Enabled">
    <vt:lpwstr>True</vt:lpwstr>
  </property>
  <property fmtid="{D5CDD505-2E9C-101B-9397-08002B2CF9AE}" pid="3" name="MSIP_Label_a566a74d-126d-4156-a9df-3b44c46a12cb_SiteId">
    <vt:lpwstr>2cb4d124-c9ed-48cc-aefd-228cd153e897</vt:lpwstr>
  </property>
  <property fmtid="{D5CDD505-2E9C-101B-9397-08002B2CF9AE}" pid="4" name="MSIP_Label_a566a74d-126d-4156-a9df-3b44c46a12cb_SetDate">
    <vt:lpwstr>2026-05-05T02:37:27Z</vt:lpwstr>
  </property>
  <property fmtid="{D5CDD505-2E9C-101B-9397-08002B2CF9AE}" pid="5" name="MSIP_Label_a566a74d-126d-4156-a9df-3b44c46a12cb_Name">
    <vt:lpwstr>Interno</vt:lpwstr>
  </property>
  <property fmtid="{D5CDD505-2E9C-101B-9397-08002B2CF9AE}" pid="6" name="MSIP_Label_a566a74d-126d-4156-a9df-3b44c46a12cb_ActionId">
    <vt:lpwstr>8c1b33c1-3311-4993-a426-4044ec98c5b9</vt:lpwstr>
  </property>
  <property fmtid="{D5CDD505-2E9C-101B-9397-08002B2CF9AE}" pid="7" name="MSIP_Label_a566a74d-126d-4156-a9df-3b44c46a12cb_Removed">
    <vt:lpwstr>False</vt:lpwstr>
  </property>
  <property fmtid="{D5CDD505-2E9C-101B-9397-08002B2CF9AE}" pid="8" name="MSIP_Label_a566a74d-126d-4156-a9df-3b44c46a12cb_Extended_MSFT_Method">
    <vt:lpwstr>Standard</vt:lpwstr>
  </property>
  <property fmtid="{D5CDD505-2E9C-101B-9397-08002B2CF9AE}" pid="9" name="Sensitivity">
    <vt:lpwstr>Interno</vt:lpwstr>
  </property>
</Properties>
</file>