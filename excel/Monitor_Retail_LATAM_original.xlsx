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urainvestmentsla-my.sharepoint.com/personal/juan_lozano_surainvestments_com/Documents/Documentos/Monitor Consumo/"/>
    </mc:Choice>
  </mc:AlternateContent>
  <xr:revisionPtr revIDLastSave="833" documentId="11_DCEC24F8689254B05003E3FD35FEEA42AA4DA12B" xr6:coauthVersionLast="47" xr6:coauthVersionMax="47" xr10:uidLastSave="{68C16E29-49DC-4E61-8D78-475C84D97787}"/>
  <bookViews>
    <workbookView xWindow="-165" yWindow="-16365" windowWidth="29130" windowHeight="15810" tabRatio="500" firstSheet="4" activeTab="5" xr2:uid="{00000000-000D-0000-FFFF-FFFF00000000}"/>
  </bookViews>
  <sheets>
    <sheet name="Resumen" sheetId="1" r:id="rId1"/>
    <sheet name="1_Actividad_Economica" sheetId="2" r:id="rId2"/>
    <sheet name="2_Ventas_Retail" sheetId="3" r:id="rId3"/>
    <sheet name="3_Confianza_Empresarial" sheetId="4" r:id="rId4"/>
    <sheet name="4_Confianza_Consumidor" sheetId="5" r:id="rId5"/>
    <sheet name="5_Inflacion" sheetId="6" r:id="rId6"/>
    <sheet name="6_ANTAD" sheetId="7" r:id="rId7"/>
    <sheet name="7_TPM's" sheetId="15" r:id="rId8"/>
    <sheet name="Links a revisar" sheetId="8" r:id="rId9"/>
    <sheet name="PIB_Corp_Colombia" sheetId="9" r:id="rId10"/>
    <sheet name="PIB_Corp_Mex" sheetId="11" r:id="rId11"/>
    <sheet name="PIB_Corp_Chile" sheetId="12" r:id="rId12"/>
    <sheet name="PIB_Corp_Brasil" sheetId="13" r:id="rId13"/>
    <sheet name="PIB_Corp_Peru" sheetId="14" r:id="rId1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2" i="6" l="1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B91" i="6"/>
  <c r="B92" i="6" s="1"/>
  <c r="B93" i="6" s="1"/>
  <c r="B94" i="6" s="1"/>
  <c r="B90" i="6"/>
  <c r="D7" i="5" l="1"/>
  <c r="D21" i="5"/>
  <c r="C21" i="5"/>
  <c r="Q39" i="13"/>
  <c r="J43" i="13" s="1"/>
  <c r="I39" i="13"/>
  <c r="J42" i="13" s="1"/>
  <c r="J36" i="14"/>
  <c r="M35" i="14"/>
  <c r="L35" i="14"/>
  <c r="K35" i="14"/>
  <c r="J35" i="14"/>
  <c r="T32" i="14"/>
  <c r="M36" i="14" s="1"/>
  <c r="S32" i="14"/>
  <c r="L36" i="14" s="1"/>
  <c r="R32" i="14"/>
  <c r="K36" i="14" s="1"/>
  <c r="Q32" i="14"/>
  <c r="L32" i="14"/>
  <c r="K32" i="14"/>
  <c r="J32" i="14"/>
  <c r="I32" i="14"/>
  <c r="E3" i="14"/>
  <c r="F3" i="14" s="1"/>
  <c r="G3" i="14" s="1"/>
  <c r="H3" i="14" s="1"/>
  <c r="I3" i="14" s="1"/>
  <c r="J3" i="14" s="1"/>
  <c r="K3" i="14" s="1"/>
  <c r="D3" i="14"/>
  <c r="T39" i="13"/>
  <c r="M43" i="13" s="1"/>
  <c r="S39" i="13"/>
  <c r="L43" i="13" s="1"/>
  <c r="R39" i="13"/>
  <c r="K43" i="13" s="1"/>
  <c r="L39" i="13"/>
  <c r="M42" i="13" s="1"/>
  <c r="K39" i="13"/>
  <c r="L42" i="13" s="1"/>
  <c r="J39" i="13"/>
  <c r="K42" i="13" s="1"/>
  <c r="D3" i="13"/>
  <c r="E3" i="13" s="1"/>
  <c r="F3" i="13" s="1"/>
  <c r="G3" i="13" s="1"/>
  <c r="H3" i="13" s="1"/>
  <c r="I3" i="13" s="1"/>
  <c r="J3" i="13" s="1"/>
  <c r="K3" i="13" s="1"/>
  <c r="T32" i="12" l="1"/>
  <c r="M36" i="12" s="1"/>
  <c r="S32" i="12"/>
  <c r="L36" i="12" s="1"/>
  <c r="R32" i="12"/>
  <c r="K36" i="12" s="1"/>
  <c r="Q32" i="12"/>
  <c r="J36" i="12" s="1"/>
  <c r="L32" i="12"/>
  <c r="M35" i="12" s="1"/>
  <c r="K32" i="12"/>
  <c r="L35" i="12" s="1"/>
  <c r="J32" i="12"/>
  <c r="K35" i="12" s="1"/>
  <c r="I32" i="12"/>
  <c r="J35" i="12" s="1"/>
  <c r="D3" i="12"/>
  <c r="E3" i="12" s="1"/>
  <c r="F3" i="12" s="1"/>
  <c r="G3" i="12" s="1"/>
  <c r="H3" i="12" s="1"/>
  <c r="I3" i="12" s="1"/>
  <c r="J3" i="12" s="1"/>
  <c r="K3" i="12" s="1"/>
  <c r="M36" i="11"/>
  <c r="L36" i="11"/>
  <c r="K36" i="11"/>
  <c r="Q32" i="11"/>
  <c r="J36" i="11" s="1"/>
  <c r="J35" i="11"/>
  <c r="T32" i="11"/>
  <c r="S32" i="11"/>
  <c r="R32" i="11"/>
  <c r="L32" i="11"/>
  <c r="K32" i="11"/>
  <c r="J32" i="11"/>
  <c r="I32" i="11"/>
  <c r="J30" i="9"/>
  <c r="J33" i="9" s="1"/>
  <c r="M35" i="11"/>
  <c r="L35" i="11"/>
  <c r="K35" i="11"/>
  <c r="D3" i="11"/>
  <c r="E3" i="11" s="1"/>
  <c r="F3" i="11" s="1"/>
  <c r="G3" i="11" s="1"/>
  <c r="H3" i="11" s="1"/>
  <c r="I3" i="11" s="1"/>
  <c r="J3" i="11" s="1"/>
  <c r="K3" i="11" s="1"/>
  <c r="U30" i="9"/>
  <c r="T30" i="9"/>
  <c r="S30" i="9"/>
  <c r="R30" i="9"/>
  <c r="M33" i="9"/>
  <c r="L33" i="9"/>
  <c r="K33" i="9"/>
  <c r="M30" i="9"/>
  <c r="L30" i="9"/>
  <c r="K30" i="9"/>
  <c r="D3" i="9"/>
  <c r="E3" i="9" s="1"/>
  <c r="F3" i="9" s="1"/>
  <c r="G3" i="9" s="1"/>
  <c r="H3" i="9" s="1"/>
  <c r="I3" i="9" s="1"/>
  <c r="J3" i="9" s="1"/>
  <c r="K3" i="9" s="1"/>
  <c r="G21" i="6" l="1"/>
  <c r="F21" i="6"/>
  <c r="E21" i="6"/>
  <c r="D21" i="6"/>
  <c r="C21" i="6"/>
  <c r="G20" i="6"/>
  <c r="F20" i="6"/>
  <c r="E20" i="6"/>
  <c r="D20" i="6"/>
  <c r="C20" i="6"/>
  <c r="G19" i="6"/>
  <c r="F19" i="6"/>
  <c r="E19" i="6"/>
  <c r="D19" i="6"/>
  <c r="C19" i="6"/>
  <c r="C22" i="5" l="1"/>
  <c r="F21" i="5"/>
  <c r="E21" i="5"/>
  <c r="F20" i="5"/>
  <c r="E20" i="5"/>
  <c r="D20" i="5"/>
  <c r="C20" i="5"/>
  <c r="F19" i="5"/>
  <c r="E19" i="5"/>
  <c r="D19" i="5"/>
  <c r="C19" i="5"/>
  <c r="G21" i="4" l="1"/>
  <c r="F21" i="4"/>
  <c r="E21" i="4"/>
  <c r="C21" i="4"/>
  <c r="G20" i="4"/>
  <c r="F20" i="4"/>
  <c r="E20" i="4"/>
  <c r="D20" i="4"/>
  <c r="C20" i="4"/>
  <c r="G19" i="4"/>
  <c r="F19" i="4"/>
  <c r="E19" i="4"/>
  <c r="D19" i="4"/>
  <c r="C19" i="4"/>
  <c r="E9" i="2"/>
  <c r="E11" i="2"/>
  <c r="E12" i="2"/>
  <c r="E13" i="2"/>
  <c r="E14" i="2"/>
  <c r="E16" i="2"/>
  <c r="E17" i="2"/>
  <c r="E8" i="2"/>
  <c r="C7" i="2"/>
  <c r="C19" i="2" s="1"/>
  <c r="G18" i="6"/>
  <c r="F18" i="6"/>
  <c r="E18" i="6"/>
  <c r="D18" i="6"/>
  <c r="C18" i="6"/>
  <c r="G17" i="6"/>
  <c r="F17" i="6"/>
  <c r="E17" i="6"/>
  <c r="D17" i="6"/>
  <c r="C17" i="6"/>
  <c r="G16" i="6"/>
  <c r="F16" i="6"/>
  <c r="E16" i="6"/>
  <c r="D16" i="6"/>
  <c r="C16" i="6"/>
  <c r="G15" i="6"/>
  <c r="F15" i="6"/>
  <c r="E15" i="6"/>
  <c r="D15" i="6"/>
  <c r="C15" i="6"/>
  <c r="G14" i="6"/>
  <c r="F14" i="6"/>
  <c r="E14" i="6"/>
  <c r="D14" i="6"/>
  <c r="C14" i="6"/>
  <c r="G13" i="6"/>
  <c r="F13" i="6"/>
  <c r="E13" i="6"/>
  <c r="D13" i="6"/>
  <c r="C13" i="6"/>
  <c r="G12" i="6"/>
  <c r="F12" i="6"/>
  <c r="E12" i="6"/>
  <c r="D12" i="6"/>
  <c r="C12" i="6"/>
  <c r="G11" i="6"/>
  <c r="F11" i="6"/>
  <c r="E11" i="6"/>
  <c r="D11" i="6"/>
  <c r="C11" i="6"/>
  <c r="G10" i="6"/>
  <c r="F10" i="6"/>
  <c r="E10" i="6"/>
  <c r="D10" i="6"/>
  <c r="C10" i="6"/>
  <c r="G9" i="6"/>
  <c r="F9" i="6"/>
  <c r="E9" i="6"/>
  <c r="D9" i="6"/>
  <c r="C9" i="6"/>
  <c r="G8" i="6"/>
  <c r="F8" i="6"/>
  <c r="E8" i="6"/>
  <c r="D8" i="6"/>
  <c r="C8" i="6"/>
  <c r="G7" i="6"/>
  <c r="F7" i="6"/>
  <c r="E7" i="6"/>
  <c r="D7" i="6"/>
  <c r="C7" i="6"/>
  <c r="F18" i="5"/>
  <c r="E18" i="5"/>
  <c r="D18" i="5"/>
  <c r="C18" i="5"/>
  <c r="F17" i="5"/>
  <c r="E17" i="5"/>
  <c r="D17" i="5"/>
  <c r="C17" i="5"/>
  <c r="F16" i="5"/>
  <c r="E16" i="5"/>
  <c r="D16" i="5"/>
  <c r="C16" i="5"/>
  <c r="F15" i="5"/>
  <c r="E15" i="5"/>
  <c r="D15" i="5"/>
  <c r="C15" i="5"/>
  <c r="F14" i="5"/>
  <c r="E14" i="5"/>
  <c r="D14" i="5"/>
  <c r="C14" i="5"/>
  <c r="F13" i="5"/>
  <c r="E13" i="5"/>
  <c r="D13" i="5"/>
  <c r="C13" i="5"/>
  <c r="F12" i="5"/>
  <c r="E12" i="5"/>
  <c r="D12" i="5"/>
  <c r="C12" i="5"/>
  <c r="F11" i="5"/>
  <c r="E11" i="5"/>
  <c r="D11" i="5"/>
  <c r="C11" i="5"/>
  <c r="F10" i="5"/>
  <c r="E10" i="5"/>
  <c r="D10" i="5"/>
  <c r="C10" i="5"/>
  <c r="F9" i="5"/>
  <c r="E9" i="5"/>
  <c r="D9" i="5"/>
  <c r="C9" i="5"/>
  <c r="F8" i="5"/>
  <c r="E8" i="5"/>
  <c r="D8" i="5"/>
  <c r="C8" i="5"/>
  <c r="F7" i="5"/>
  <c r="F22" i="5" s="1"/>
  <c r="E7" i="5"/>
  <c r="C7" i="5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D21" i="4" s="1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G18" i="2"/>
  <c r="F18" i="2"/>
  <c r="E18" i="2"/>
  <c r="D18" i="2"/>
  <c r="C18" i="2"/>
  <c r="G17" i="2"/>
  <c r="F17" i="2"/>
  <c r="D17" i="2"/>
  <c r="C17" i="2"/>
  <c r="G16" i="2"/>
  <c r="F16" i="2"/>
  <c r="D16" i="2"/>
  <c r="C16" i="2"/>
  <c r="G15" i="2"/>
  <c r="F15" i="2"/>
  <c r="E15" i="2"/>
  <c r="D15" i="2"/>
  <c r="C15" i="2"/>
  <c r="G14" i="2"/>
  <c r="F14" i="2"/>
  <c r="D14" i="2"/>
  <c r="C14" i="2"/>
  <c r="G13" i="2"/>
  <c r="F13" i="2"/>
  <c r="D13" i="2"/>
  <c r="C13" i="2"/>
  <c r="G12" i="2"/>
  <c r="F12" i="2"/>
  <c r="D12" i="2"/>
  <c r="C12" i="2"/>
  <c r="G11" i="2"/>
  <c r="F11" i="2"/>
  <c r="D11" i="2"/>
  <c r="C11" i="2"/>
  <c r="G10" i="2"/>
  <c r="F10" i="2"/>
  <c r="E10" i="2"/>
  <c r="D10" i="2"/>
  <c r="C10" i="2"/>
  <c r="G9" i="2"/>
  <c r="F9" i="2"/>
  <c r="D9" i="2"/>
  <c r="C9" i="2"/>
  <c r="G8" i="2"/>
  <c r="F8" i="2"/>
  <c r="D8" i="2"/>
  <c r="C8" i="2"/>
  <c r="G7" i="2"/>
  <c r="F7" i="2"/>
  <c r="E7" i="2"/>
  <c r="D7" i="2"/>
  <c r="G22" i="6" l="1"/>
  <c r="C22" i="6"/>
  <c r="E22" i="6"/>
  <c r="F22" i="6"/>
  <c r="D22" i="6"/>
  <c r="E22" i="5"/>
  <c r="D22" i="5"/>
  <c r="C19" i="3"/>
  <c r="D19" i="3"/>
  <c r="E19" i="3"/>
  <c r="F19" i="3"/>
  <c r="F19" i="2"/>
  <c r="G19" i="2"/>
  <c r="E19" i="2"/>
  <c r="D19" i="2"/>
</calcChain>
</file>

<file path=xl/sharedStrings.xml><?xml version="1.0" encoding="utf-8"?>
<sst xmlns="http://schemas.openxmlformats.org/spreadsheetml/2006/main" count="606" uniqueCount="253">
  <si>
    <t>Monitor Retail LATAM</t>
  </si>
  <si>
    <t>Réplica + estructura para actualización mensual</t>
  </si>
  <si>
    <t>Construido: 04-May-2026</t>
  </si>
  <si>
    <t>Fuente original: 2026_01_21-Monitor_Retail.pptx (SURA Investments)</t>
  </si>
  <si>
    <t>Código de Colores</t>
  </si>
  <si>
    <t>Texto AZUL</t>
  </si>
  <si>
    <t>Datos confirmados extraídos del heatmap del PPTX (input)</t>
  </si>
  <si>
    <t>Texto VERDE</t>
  </si>
  <si>
    <t>Dato verificado vía búsqueda web en fuente oficial (Banco Central, INEGI, INEI, DANE, ANTAD, etc.)</t>
  </si>
  <si>
    <t>Texto PÚRPURA</t>
  </si>
  <si>
    <t>Extracción VISUAL del gráfico de líneas del PPT (incertidumbre estimada ±0.3 a ±1.0pp). Útil para narrativa y forma histórica; verificar contra Bloomberg/fuente oficial antes de usar en publicación.</t>
  </si>
  <si>
    <t>Fondo AMARILLO</t>
  </si>
  <si>
    <t>Celda que requiere actualización mensual / completar cuando se publique el dato</t>
  </si>
  <si>
    <t>Texto NEGRO</t>
  </si>
  <si>
    <t>Fórmulas y etiquetas</t>
  </si>
  <si>
    <t>Celda en blanco</t>
  </si>
  <si>
    <t>GAP — dato no disponible en PPTX ni verificado; el usuario debe completar desde Bloomberg/Eikon o fuente oficial</t>
  </si>
  <si>
    <t>1_Actividad_Economica</t>
  </si>
  <si>
    <t>2_Ventas_Retail</t>
  </si>
  <si>
    <t>3_Confianza_Empresarial</t>
  </si>
  <si>
    <t>4_Confianza_Consumidor</t>
  </si>
  <si>
    <t>5_Inflacion</t>
  </si>
  <si>
    <t>6_ANTAD</t>
  </si>
  <si>
    <t>Cómo actualizar el archivo cada mes</t>
  </si>
  <si>
    <t>1. En cada hoja, ir a la sección 'Serie Mensual' (debajo del heatmap).</t>
  </si>
  <si>
    <t>2. Localizar la fila correspondiente al nuevo mes (las filas YA están pre-llenadas hasta May-2026).</t>
  </si>
  <si>
    <t>3. Pegar el nuevo dato en la columna del país correspondiente.</t>
  </si>
  <si>
    <t>4. El heatmap superior se actualiza automáticamente vía fórmula INDEX/MATCH.</t>
  </si>
  <si>
    <t>5. El gráfico de líneas se actualiza automáticamente al ampliar la serie.</t>
  </si>
  <si>
    <t>6. Las celdas marcadas en AMARILLO son las próximas que necesitarán dato.</t>
  </si>
  <si>
    <t>Notas importantes:</t>
  </si>
  <si>
    <t>• La serie histórica desde 2021 está estructurada con todas las fechas; los puntos NO incluidos en el heatmap del PPTX deben completarse desde fuente oficial.</t>
  </si>
  <si>
    <t>• Se verificaron los últimos datos disponibles a la fecha de construcción (May 2026) contra fuentes oficiales — match casi perfecto con PPTX.</t>
  </si>
  <si>
    <t>• Para la serie ANTAD por segmento (Departamental/Autoservicio/Especializadas), el PPTX solo muestra el 'Overall'; los segmentos están parcialmente verificados desde comunicados de prensa ANTAD.</t>
  </si>
  <si>
    <t>Status de Datos por País / Indicador</t>
  </si>
  <si>
    <t>Hoja</t>
  </si>
  <si>
    <t>BR</t>
  </si>
  <si>
    <t>CL</t>
  </si>
  <si>
    <t>CO</t>
  </si>
  <si>
    <t>MX</t>
  </si>
  <si>
    <t>PE</t>
  </si>
  <si>
    <t>OFICIAL</t>
  </si>
  <si>
    <t>VISUAL</t>
  </si>
  <si>
    <t>—</t>
  </si>
  <si>
    <t>MIXTO</t>
  </si>
  <si>
    <t>Fuentes utilizadas</t>
  </si>
  <si>
    <t>BCB Brasil (API): https://api.bcb.gov.br/dados/serie/bcdata.sgs.{ID}/dados</t>
  </si>
  <si>
    <t xml:space="preserve">  • IBC-Br ID 24363 (actividad), INEC ID 4393 (confianza consumidor), IPCA ID 433 (inflación mensual)</t>
  </si>
  <si>
    <t>BCRP Perú: https://estadisticas.bcrp.gob.pe/estadisticas/series/mensuales/resultados/{CODIGO}/html</t>
  </si>
  <si>
    <t xml:space="preserve">  • PN01728AM (PBI YoY), PN38705PM (IPC nivel), PD39752AM (Confianza Empresarial)</t>
  </si>
  <si>
    <t>CNI Brasil ICEI: https://www.portaldaindustria.com.br/estatisticas/icei-indice-de-confianca-do-empresario-industrial/</t>
  </si>
  <si>
    <t>Series oficiales NO accesibles directamente desde web (requieren Bloomberg, descarga manual o portal interactivo):</t>
  </si>
  <si>
    <t xml:space="preserve">  • BCCh Chile - IMACEC, IPC, IMCE, IPEC (xlsx interactivos)</t>
  </si>
  <si>
    <t xml:space="preserve">  • DANE Colombia - ISE, EMC, IPC (xlsx via boletines mensuales)</t>
  </si>
  <si>
    <t xml:space="preserve">  • INEGI México - IGAE, EMEC, ICE, ICC, INPC (tabulados)</t>
  </si>
  <si>
    <t xml:space="preserve">  • Fedesarrollo - EOE, ICC (descarga de PDF/xlsx por mes)</t>
  </si>
  <si>
    <t>ANTAD México - https://antad.net (comunicados mensuales)</t>
  </si>
  <si>
    <t>Actividad Económica</t>
  </si>
  <si>
    <t>Variación de Índice Mensual de Actividad Económica no Desestacionalizado (% YoY)</t>
  </si>
  <si>
    <t>Mes</t>
  </si>
  <si>
    <t>BRASIL</t>
  </si>
  <si>
    <t>CHILE</t>
  </si>
  <si>
    <t>COLOMBIA</t>
  </si>
  <si>
    <t>MEXICO</t>
  </si>
  <si>
    <t>PERU</t>
  </si>
  <si>
    <t>Abr-25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</si>
  <si>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</si>
  <si>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</si>
  <si>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</si>
  <si>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</si>
  <si>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</si>
  <si>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</si>
  <si>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</si>
  <si>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</si>
  <si>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Ene-26</t>
  </si>
  <si>
    <t>Feb-26</t>
  </si>
  <si>
    <t>Mar-26</t>
  </si>
  <si>
    <t>Promedio</t>
  </si>
  <si>
    <t>Serie Mensual Histórica (input data)</t>
  </si>
  <si>
    <t>Fecha</t>
  </si>
  <si>
    <t>Fuentes:</t>
  </si>
  <si>
    <t>Banco Central do Brasil (IBC-Br), Banco Central de Chile (IMACEC), DANE (ISE), INEGI (IGAE), Banco Central de Reserva del Perú (Producción Nacional INEI)</t>
  </si>
  <si>
    <t>Nota:</t>
  </si>
  <si>
    <t>Mar-2026 verificado: Chile IMACEC = -0.1% (BCCh, publicado May 4, 2026). Brasil/Colombia/México/Perú Mar-26 pendientes de publicación al cierre de este archivo.</t>
  </si>
  <si>
    <t>Brasil Feb-26 IBC-Br oficial: -0.3% YoY (PPTX muestra -0.27%; diferencia por redondeo).</t>
  </si>
  <si>
    <t>México Feb-26 IGAE oficial: -0.3% YoY cifras originales (PPTX muestra -0.26%).</t>
  </si>
  <si>
    <t>Colombia Feb-26 ISE oficial: 1.65% YoY ✓ match exacto con PPTX.</t>
  </si>
  <si>
    <t>Perú Feb-26 Producción Nacional INEI: 3.68% YoY (PPTX muestra 3.7% — match).</t>
  </si>
  <si>
    <t>Ventas Retail</t>
  </si>
  <si>
    <t>Wholesale/Retail Sale YoY Total Return Variation</t>
  </si>
  <si>
    <t>Bloomberg (los datos del PPTX provienen de Bloomberg). Equivalentes oficiales: PMC IBGE (BR) / INE Comercio (CL) / EMCM DANE (CO) / ANTAD (MX)</t>
  </si>
  <si>
    <t>México en este chart corresponde a ANTAD Same-Store Sales (overall, Tiendas Iguales) — coincide con el chart de la hoja 6_ANTAD.</t>
  </si>
  <si>
    <t>Para Brasil/Chile/Colombia los datos son de Bloomberg (PMC, INE Comercio, EMCM respectivamente).</t>
  </si>
  <si>
    <t>ANTAD Feb-26 Tiendas Iguales overall: 1.1% (PPTX 3.1%) — DISCREPANCIA. PPTX puede usar Tiendas Totales o serie distinta. Verificar fuente Bloomberg exacta.</t>
  </si>
  <si>
    <t>ANTAD Mar-26 Tiendas Iguales overall: 1.7% (PPTX no incluye); Mar-26 Tiendas Totales: 3.8%.</t>
  </si>
  <si>
    <t>Índice Confianza Empresarial</t>
  </si>
  <si>
    <t>Índice de Confianza Empresarial entre 0 y 100 — Formula Normalización Colombia: ID = (X+100)/2</t>
  </si>
  <si>
    <t>Feb-25</t>
  </si>
  <si>
    <t>Mar-25</t>
  </si>
  <si>
    <t>Confederação Nacional da Indústria (ICEI), Banco Central de Chile (IMCE), Fedesarrollo (EOE — normalizado), INEGI (Confianza Empresarial Manufacturera), Banco Central de Reserva del Perú (Expectativas Empresariales)</t>
  </si>
  <si>
    <t>Colombia se normaliza con la fórmula ID(0-100) = (X_indice + 100) / 2 ya que el índice original de Fedesarrollo va de -100 a +100.</t>
  </si>
  <si>
    <t>Brasil Jan-26: 48.5 (último dato confirmado en PPTX). Chile/Colombia/México/Perú último dato es Dic-25.</t>
  </si>
  <si>
    <t>Colombia Dec-25: NaN en el PPTX — verificar publicación de Fedesarrollo.</t>
  </si>
  <si>
    <t>Índice Confianza Consumidor</t>
  </si>
  <si>
    <t>Índice de Confianza Consumidor entre 0 y 100 — Formula Normalización Brasil: ID = X/2</t>
  </si>
  <si>
    <t>Ene-25</t>
  </si>
  <si>
    <t>Banco Central do Brasil / FGV (INEC normalizado), Banco Central de Chile (IPEC), Fedesarrollo (ICC), INEGI (ICC)</t>
  </si>
  <si>
    <t>Brasil se normaliza con ID = X_indice / 2 (el índice FGV original va de 0 a 200).</t>
  </si>
  <si>
    <t>Brasil Nov-25: 59.32 (último dato confirmado). Brasil Dec-25 = NaN en PPTX, requiere verificación.</t>
  </si>
  <si>
    <t>Chile/Colombia/México último dato Dic-25.</t>
  </si>
  <si>
    <t>Inflación</t>
  </si>
  <si>
    <t>Variación Índice de Precios al Consumidor (% YoY)</t>
  </si>
  <si>
    <t>Banco Central do Brasil (IPCA), Banco Central de Chile (IPC), DANE (IPC Colombia), INEGI (INPC México), Banco Central de Reserva del Perú (IPC Lima Metropolitana)</t>
  </si>
  <si>
    <t>Inflación Dic-25 último dato del PPTX. Datos de Ene/Feb/Mar/Abr-26 deben actualizarse desde fuentes oficiales (publicación mensual ~10 del mes siguiente).</t>
  </si>
  <si>
    <t>ANTAD - México: Same-Store Sales</t>
  </si>
  <si>
    <t>Variación nominal % YoY a Tiendas Iguales (más de 12 meses operando)</t>
  </si>
  <si>
    <t>Serie Mensual ANTAD — Tiendas Iguales</t>
  </si>
  <si>
    <t>OVERALL</t>
  </si>
  <si>
    <t>AUTOSERVICIO</t>
  </si>
  <si>
    <t>DEPARTAMENTAL</t>
  </si>
  <si>
    <t>ESPECIALIZADAS</t>
  </si>
  <si>
    <t>Asociación Nacional de Tiendas de Autoservicio y Departamentales (ANTAD), comunicados mensuales — antad.net</t>
  </si>
  <si>
    <t>PPTX solo reporta la serie 'Overall' — los segmentos (Autoservicio/Departamental/Especializadas) se llenaron desde comunicados ANTAD verificados.</t>
  </si>
  <si>
    <t>Marzo-26 confirmado vía 5 fuentes (ANTAD oficial, Reforma, La Jornada, Mundo Ejecutivo, Retailers.mx).</t>
  </si>
  <si>
    <t>Enero-26 Overall = 3.4% es CALCULADO (bimestre acc 2.2% &amp; Feb 1.1%) — verificar contra comunicado ANTAD.</t>
  </si>
  <si>
    <t>Para serie histórica completa (2021-2025), pegar valores desde reportes mensuales ANTAD (color azul = del PPTX, color verde = verificado web, blanco = pendiente).</t>
  </si>
  <si>
    <t>Contexto credit research: 2025 SSS departamental fue inusualmente fuerte (calendario, base baja 2024, PTU/wages, expansión de crédito); el retorno a -0.7% en Feb-26 y +0.9% en Mar-26 refleja normalización contra base alta, no deterioro estructural (ver memoria proyecto).</t>
  </si>
  <si>
    <t>Hoja 1 — Actividad Económica</t>
  </si>
  <si>
    <t>Hoja 2 — Ventas Retail (todas faltan)</t>
  </si>
  <si>
    <t>Hoja 3 — Confianza Empresarial</t>
  </si>
  <si>
    <t>Hoja 4 — Confianza Consumidor</t>
  </si>
  <si>
    <t>Hoja 5 — Inflación</t>
  </si>
  <si>
    <t>Hoja 6 — ANTAD (no la pasaste, pero la oficial es)</t>
  </si>
  <si>
    <t>→ https://antad.net (sección "Indicadores ANTAD" → comunicados mensuales para llenar histórico 2021-2025 con Overall + Autoservicio + Departamental + Especializadas)</t>
  </si>
  <si>
    <t>https://si3.bcentral.cl/estadisticas/Principal1/excel/CCNN/IMACEC/Excel/IMACEC.xlsx</t>
  </si>
  <si>
    <t xml:space="preserve">Chile (IMACEC) </t>
  </si>
  <si>
    <t>Heatmap Actividad Económica - VAR YoY 12M</t>
  </si>
  <si>
    <t>https://www.dane.gov.co/index.php/estadisticas-por-tema/cuentas-nacionales/indicador-de-seguimiento-a-la-economia-ise</t>
  </si>
  <si>
    <t xml:space="preserve">Colombia (ISE) </t>
  </si>
  <si>
    <t>https://www.inegi.org.mx/contenidos/programas/igae/2018/tabulados/ori/IGAE_2.xlsx</t>
  </si>
  <si>
    <t xml:space="preserve">México (IGAE) </t>
  </si>
  <si>
    <t>https://www.ibge.gov.br/estatisticas/economicas/comercio/9227-pesquisa-mensal-de-comercio.html</t>
  </si>
  <si>
    <t>Brasil (PMC IBGE)</t>
  </si>
  <si>
    <t>Heatmap Ventas Retail - VAR YoY 12M</t>
  </si>
  <si>
    <t>Heatmap Índice Confianza Empresarial - VAR YoY 12M</t>
  </si>
  <si>
    <t xml:space="preserve">Chile (INE Comercio) </t>
  </si>
  <si>
    <t>https://www.ine.gob.cl/docs/default-source/actividad-mensual-del-comercio/cuadros-estadisticos/base-promedio-año-2018-100/series-mensuales-desde-enero-de-2018-a-la-fecha.xlsx</t>
  </si>
  <si>
    <t>No funciona</t>
  </si>
  <si>
    <t xml:space="preserve">Colombia (EMC DANE) </t>
  </si>
  <si>
    <t>https://www.dane.gov.co/index.php/estadisticas-por-tema/comercio-interno/encuesta-mensual-de-comercio-emc</t>
  </si>
  <si>
    <t>https://www.inegi.org.mx/app/tabulados/interactivos/?px=EMEC_NACIONAL_0&amp;bd=EMEC</t>
  </si>
  <si>
    <t xml:space="preserve"> https://www.portaldaindustria.com.br/estatisticas/icei-indice-de-confianca-do-empresario-industrial/</t>
  </si>
  <si>
    <t>México (ANTAD via INEGI EMEC)</t>
  </si>
  <si>
    <t>https://si3.bcentral.cl/siete/ES/Siete/Cuadro/CAP_BDP/MN_EXP_EC11/EXE_IMCE_TOTAL</t>
  </si>
  <si>
    <t xml:space="preserve">Chile (IMCE BCCh) </t>
  </si>
  <si>
    <t xml:space="preserve">Brasil (ICEI CNI) </t>
  </si>
  <si>
    <t>https://www.repository.fedesarrollo.org.co/handle/11445/37</t>
  </si>
  <si>
    <t xml:space="preserve">Colombia (EOE Fedesarrollo) </t>
  </si>
  <si>
    <t>https://www.inegi.org.mx/app/tabulados/default.html?nc=100100061&amp;idrt=28&amp;opc=t</t>
  </si>
  <si>
    <t>México (INEGI Conf Empresarial)</t>
  </si>
  <si>
    <t>Heatmap Índice Confianza Consumidor - VAR YoY 12M</t>
  </si>
  <si>
    <t>https://si3.bcentral.cl/Siete/ES/Siete/Cuadro/CAP_EXP_ECO/MN_EXP_EC11/IPSOS_ICC_M/638427307428609836 (el segundo link que pasaste, el primero está roto)</t>
  </si>
  <si>
    <t>Chile (IPSOS-ICC BCCh)</t>
  </si>
  <si>
    <t>https://www.repository.fedesarrollo.org.co/handle/11445/36</t>
  </si>
  <si>
    <t>Colombia (ICC Fedesarrollo)</t>
  </si>
  <si>
    <t>https://www.inegi.org.mx/contenidos/programas/enco/tabulados/enco_b_indicador_de_confianza_del_consumidor.xlsx</t>
  </si>
  <si>
    <t xml:space="preserve">México (ICC INEGI) </t>
  </si>
  <si>
    <t>https://si3.bcentral.cl/Siete/ES/Siete/Cuadro/CAP_PRECIOS/MN_CAP_PRECIOS/IPC_VAR_ANUAL_HIST_NEW</t>
  </si>
  <si>
    <t>Chile (IPC BCCh)</t>
  </si>
  <si>
    <t>Colombia (IPC DANE)</t>
  </si>
  <si>
    <t>https://www.dane.gov.co/index.php/estadisticas-por-tema/precios-y-costos/indice-de-precios-al-consumidor-ipc</t>
  </si>
  <si>
    <t>https://www.inegi.org.mx/temas/inpc/</t>
  </si>
  <si>
    <t>México (INPC INEGI)</t>
  </si>
  <si>
    <t>Heatmap Índice Precios Consumidor - VAR YoY 12M</t>
  </si>
  <si>
    <t>PIB</t>
  </si>
  <si>
    <t>Organizacion Terpel S.A.</t>
  </si>
  <si>
    <t>AAA(col)</t>
  </si>
  <si>
    <t>Stable</t>
  </si>
  <si>
    <t>Biomax Biocombustibles S.A.</t>
  </si>
  <si>
    <t>AA+(col)</t>
  </si>
  <si>
    <t>RWP</t>
  </si>
  <si>
    <t>Primax Colombia S.A.</t>
  </si>
  <si>
    <t>Ratings</t>
  </si>
  <si>
    <t>Outlook</t>
  </si>
  <si>
    <t>2025F</t>
  </si>
  <si>
    <t>2026F</t>
  </si>
  <si>
    <t>2027F</t>
  </si>
  <si>
    <t>Revenue Growth</t>
  </si>
  <si>
    <t>EBITDAR Margin</t>
  </si>
  <si>
    <t>FCF Margin</t>
  </si>
  <si>
    <t>EBITDAR Leverage (x)</t>
  </si>
  <si>
    <t>Nutresa</t>
  </si>
  <si>
    <t>2026E</t>
  </si>
  <si>
    <t>2027E</t>
  </si>
  <si>
    <t>El Puerto de Liverpool S.A.B. de C.V.</t>
  </si>
  <si>
    <t>BBB+</t>
  </si>
  <si>
    <t>Grupo Palacio de Hierro, S.A.B. de C.V.</t>
  </si>
  <si>
    <t>AAA(mex)</t>
  </si>
  <si>
    <t>Grupo Sanborns, S.A.B. de C.V.</t>
  </si>
  <si>
    <t>Fomento Economico Mexicano, S.A.B. de C.V. (FEMSA)a</t>
  </si>
  <si>
    <t>A</t>
  </si>
  <si>
    <t>Grupo Comercial Chedraui, S.A.B. De C.V.</t>
  </si>
  <si>
    <t>Organizacion Soriana, S.A.B. de C.V.</t>
  </si>
  <si>
    <t>EBITDA Average</t>
  </si>
  <si>
    <t>Net Leverage Average</t>
  </si>
  <si>
    <t>Falabella S.A.</t>
  </si>
  <si>
    <t>BBB-</t>
  </si>
  <si>
    <t>10.3</t>
  </si>
  <si>
    <t>9.5</t>
  </si>
  <si>
    <t>3.3</t>
  </si>
  <si>
    <t>4.7</t>
  </si>
  <si>
    <t>11.2</t>
  </si>
  <si>
    <t>13.0</t>
  </si>
  <si>
    <t>12.8</t>
  </si>
  <si>
    <t>13.2</t>
  </si>
  <si>
    <t>4.6</t>
  </si>
  <si>
    <t>3.6</t>
  </si>
  <si>
    <t>0.3</t>
  </si>
  <si>
    <t>2.0</t>
  </si>
  <si>
    <t>4.8</t>
  </si>
  <si>
    <t>2.8</t>
  </si>
  <si>
    <t>3.0</t>
  </si>
  <si>
    <t>2.7</t>
  </si>
  <si>
    <t>Havan S.A.</t>
  </si>
  <si>
    <t>AAA(bra)</t>
  </si>
  <si>
    <t>Vivara Participacoes S.A.</t>
  </si>
  <si>
    <t>Grupo SBF S.A. (Centauro)</t>
  </si>
  <si>
    <t>AA-(bra)</t>
  </si>
  <si>
    <t>Positive</t>
  </si>
  <si>
    <t>C&amp;A Modas S.A.</t>
  </si>
  <si>
    <t>Empreendimentos Pague Menos S.A.</t>
  </si>
  <si>
    <t>Guararapes Confeccoes S.A.</t>
  </si>
  <si>
    <t>A+(bra)</t>
  </si>
  <si>
    <t>CPX Distribuidora S.A. (Cantu Store)</t>
  </si>
  <si>
    <t>A-(bra)</t>
  </si>
  <si>
    <t>Farmacia e Drogaria Nissei S.A.</t>
  </si>
  <si>
    <t>MPM Corporeos S.A.</t>
  </si>
  <si>
    <t>CVC Brasil Operadora e Agencia de Viagens S.A.</t>
  </si>
  <si>
    <t>BBB(bra)</t>
  </si>
  <si>
    <t>Mercado Libre, Inc.</t>
  </si>
  <si>
    <t>Mateus Supermercados S.A.</t>
  </si>
  <si>
    <t>Sendas Distribuidora S/A</t>
  </si>
  <si>
    <t xml:space="preserve">Tasas de Politica Monetaria </t>
  </si>
  <si>
    <t>Estados Unidos</t>
  </si>
  <si>
    <t>Fuentes para USA:</t>
  </si>
  <si>
    <t>12-month percentage change, Consumer Price Index, selected categories</t>
  </si>
  <si>
    <t>Fuente mexico:</t>
  </si>
  <si>
    <t>Fuente estados Unidos:</t>
  </si>
  <si>
    <t>Federal Funds Effective Rate (FEDFUNDS) | FRED | St. Louis Fed</t>
  </si>
  <si>
    <t>Fuente Colombia:</t>
  </si>
  <si>
    <t>https://suameca.banrep.gov.co/estadisticas-economicas/informacionSerie/59/tasas_interes_politica_monetaria</t>
  </si>
  <si>
    <t>Fuente Mexico:</t>
  </si>
  <si>
    <t>https://www.banxico.org.mx/SieInternet/consultarDirectorioInternetAction.do?accion=consultarCuadro&amp;idCuadro=CF101&amp;sector=18&amp;locale=es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</si>
</sst>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%;[Red]\(0.00%\);\-"/>
    <numFmt numFmtId="165" formatCode="0.00;[Red]\(0.00\);\-"/>
    <numFmt numFmtId="166" formatCode="0.0%;[Red]\(0.0%\);\-"/>
    <numFmt numFmtId="167" formatCode="0.0;[Red]\(0.0\);\-"/>
    <numFmt numFmtId="168" formatCode="0.0"/>
    <numFmt numFmtId="169" formatCode="0&quot;E&quot;"/>
    <numFmt numFmtId="170" formatCode="0.0%"/>
    <numFmt numFmtId="171" formatCode="#,##0.0&quot;x&quot;_)"/>
  </numFmts>
  <fonts count="49" x14ac:knownFonts="1">
    <font>
      <sz val="11"/>
      <color theme="1"/>
      <name val="Calibri"/>
      <family val="2"/>
      <charset val="1"/>
    </font>
    <font>
      <i/>
      <sz val="11"/>
      <color rgb="FF59595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sz val="10"/>
      <color rgb="FF7030A0"/>
      <name val="Arial"/>
      <family val="2"/>
    </font>
    <font>
      <sz val="10"/>
      <color rgb="FF0000FF"/>
      <name val="Arial"/>
      <family val="2"/>
    </font>
    <font>
      <i/>
      <sz val="10"/>
      <color rgb="FF595959"/>
      <name val="Arial"/>
      <family val="2"/>
    </font>
    <font>
      <u/>
      <sz val="11"/>
      <color theme="10"/>
      <name val="Calibri"/>
      <family val="2"/>
      <charset val="1"/>
    </font>
    <font>
      <b/>
      <sz val="13.5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1"/>
      <color theme="1"/>
      <name val="Arial"/>
      <family val="2"/>
      <scheme val="major"/>
    </font>
    <font>
      <i/>
      <sz val="11"/>
      <color rgb="FF595959"/>
      <name val="Arial"/>
      <family val="2"/>
      <scheme val="major"/>
    </font>
    <font>
      <b/>
      <sz val="11"/>
      <color rgb="FFFFFFFF"/>
      <name val="Arial"/>
      <family val="2"/>
      <scheme val="major"/>
    </font>
    <font>
      <b/>
      <sz val="10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rgb="FF7030A0"/>
      <name val="Arial"/>
      <family val="2"/>
      <scheme val="major"/>
    </font>
    <font>
      <sz val="10"/>
      <color rgb="FF0000FF"/>
      <name val="Arial"/>
      <family val="2"/>
      <scheme val="major"/>
    </font>
    <font>
      <sz val="10"/>
      <name val="Arial"/>
      <family val="2"/>
      <scheme val="major"/>
    </font>
    <font>
      <i/>
      <sz val="10"/>
      <color rgb="FF595959"/>
      <name val="Arial"/>
      <family val="2"/>
      <scheme val="major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0"/>
      <name val="Arial"/>
      <family val="2"/>
    </font>
    <font>
      <b/>
      <sz val="22"/>
      <color rgb="FF1F3864"/>
      <name val="Sura Sans"/>
      <family val="3"/>
    </font>
    <font>
      <sz val="11"/>
      <color theme="1"/>
      <name val="Sura Sans"/>
      <family val="3"/>
    </font>
    <font>
      <i/>
      <sz val="11"/>
      <color rgb="FF595959"/>
      <name val="Sura Sans"/>
      <family val="3"/>
    </font>
    <font>
      <i/>
      <sz val="9"/>
      <color rgb="FF808080"/>
      <name val="Sura Sans"/>
      <family val="3"/>
    </font>
    <font>
      <b/>
      <sz val="12"/>
      <name val="Sura Sans"/>
      <family val="3"/>
    </font>
    <font>
      <b/>
      <sz val="10"/>
      <color rgb="FF0000FF"/>
      <name val="Sura Sans"/>
      <family val="3"/>
    </font>
    <font>
      <sz val="10"/>
      <name val="Sura Sans"/>
      <family val="3"/>
    </font>
    <font>
      <b/>
      <sz val="10"/>
      <color rgb="FF008000"/>
      <name val="Sura Sans"/>
      <family val="3"/>
    </font>
    <font>
      <b/>
      <sz val="10"/>
      <color rgb="FF7030A0"/>
      <name val="Sura Sans"/>
      <family val="3"/>
    </font>
    <font>
      <b/>
      <sz val="10"/>
      <color rgb="FFFFF2CC"/>
      <name val="Sura Sans"/>
      <family val="3"/>
    </font>
    <font>
      <b/>
      <sz val="10"/>
      <color rgb="FF000000"/>
      <name val="Sura Sans"/>
      <family val="3"/>
    </font>
    <font>
      <b/>
      <sz val="10"/>
      <color rgb="FFFFFFFF"/>
      <name val="Sura Sans"/>
      <family val="3"/>
    </font>
    <font>
      <b/>
      <sz val="10"/>
      <name val="Sura Sans"/>
      <family val="3"/>
    </font>
    <font>
      <b/>
      <sz val="10"/>
      <color rgb="FFC00000"/>
      <name val="Sura Sans"/>
      <family val="3"/>
    </font>
    <font>
      <b/>
      <sz val="16"/>
      <color theme="8"/>
      <name val="Arial"/>
      <family val="2"/>
    </font>
    <font>
      <b/>
      <sz val="12"/>
      <color theme="8"/>
      <name val="Arial"/>
      <family val="2"/>
    </font>
    <font>
      <b/>
      <sz val="16"/>
      <color theme="8"/>
      <name val="Arial"/>
      <family val="2"/>
      <scheme val="major"/>
    </font>
    <font>
      <b/>
      <sz val="12"/>
      <color theme="8"/>
      <name val="Arial"/>
      <family val="2"/>
      <scheme val="major"/>
    </font>
    <font>
      <b/>
      <sz val="12"/>
      <color theme="4"/>
      <name val="Sura Sans"/>
      <family val="3"/>
    </font>
    <font>
      <b/>
      <sz val="11"/>
      <color rgb="FFFFFFFF"/>
      <name val="Sura Sans"/>
      <family val="3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8"/>
        <bgColor rgb="FF333399"/>
      </patternFill>
    </fill>
    <fill>
      <patternFill patternType="solid">
        <fgColor theme="9" tint="0.89999084444715716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3" fillId="0" borderId="0" xfId="0" applyFont="1"/>
    <xf numFmtId="164" fontId="5" fillId="0" borderId="0" xfId="0" applyNumberFormat="1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1"/>
    <xf numFmtId="2" fontId="0" fillId="0" borderId="0" xfId="0" applyNumberFormat="1" applyAlignment="1">
      <alignment horizontal="centerContinuous"/>
    </xf>
    <xf numFmtId="166" fontId="5" fillId="0" borderId="0" xfId="0" applyNumberFormat="1" applyFont="1" applyAlignment="1">
      <alignment horizontal="center" vertical="center"/>
    </xf>
    <xf numFmtId="0" fontId="12" fillId="0" borderId="0" xfId="1" applyFont="1"/>
    <xf numFmtId="0" fontId="0" fillId="0" borderId="0" xfId="0" applyAlignment="1">
      <alignment horizontal="centerContinuous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centerContinuous"/>
    </xf>
    <xf numFmtId="17" fontId="14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0" fontId="17" fillId="0" borderId="0" xfId="0" applyFont="1"/>
    <xf numFmtId="166" fontId="18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168" fontId="0" fillId="0" borderId="0" xfId="0" applyNumberFormat="1"/>
    <xf numFmtId="40" fontId="0" fillId="0" borderId="0" xfId="0" applyNumberFormat="1" applyAlignment="1">
      <alignment horizontal="centerContinuous"/>
    </xf>
    <xf numFmtId="0" fontId="27" fillId="5" borderId="0" xfId="0" applyFont="1" applyFill="1" applyAlignment="1">
      <alignment horizontal="center"/>
    </xf>
    <xf numFmtId="169" fontId="27" fillId="5" borderId="0" xfId="0" applyNumberFormat="1" applyFont="1" applyFill="1" applyAlignment="1">
      <alignment horizontal="center"/>
    </xf>
    <xf numFmtId="170" fontId="0" fillId="0" borderId="0" xfId="2" applyNumberFormat="1" applyFont="1"/>
    <xf numFmtId="171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9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2" borderId="0" xfId="0" applyFont="1" applyFill="1"/>
    <xf numFmtId="0" fontId="38" fillId="0" borderId="0" xfId="0" applyFont="1"/>
    <xf numFmtId="0" fontId="32" fillId="0" borderId="0" xfId="0" applyFont="1"/>
    <xf numFmtId="0" fontId="34" fillId="0" borderId="0" xfId="0" applyFont="1"/>
    <xf numFmtId="0" fontId="39" fillId="3" borderId="0" xfId="0" applyFont="1" applyFill="1" applyAlignment="1">
      <alignment horizontal="center" vertical="center"/>
    </xf>
    <xf numFmtId="0" fontId="40" fillId="0" borderId="0" xfId="0" applyFont="1"/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2" fillId="0" borderId="0" xfId="0" applyFont="1"/>
    <xf numFmtId="0" fontId="43" fillId="0" borderId="0" xfId="0" applyFont="1"/>
    <xf numFmtId="0" fontId="44" fillId="0" borderId="0" xfId="0" applyFont="1"/>
    <xf numFmtId="0" fontId="16" fillId="6" borderId="0" xfId="0" applyFont="1" applyFill="1" applyAlignment="1">
      <alignment horizontal="center" vertical="center"/>
    </xf>
    <xf numFmtId="0" fontId="45" fillId="0" borderId="0" xfId="0" applyFont="1"/>
    <xf numFmtId="2" fontId="46" fillId="0" borderId="0" xfId="0" applyNumberFormat="1" applyFont="1" applyAlignment="1">
      <alignment horizontal="centerContinuous"/>
    </xf>
    <xf numFmtId="166" fontId="3" fillId="4" borderId="2" xfId="0" applyNumberFormat="1" applyFont="1" applyFill="1" applyBorder="1" applyAlignment="1">
      <alignment horizontal="center" vertical="center"/>
    </xf>
    <xf numFmtId="166" fontId="3" fillId="4" borderId="3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49" fontId="13" fillId="7" borderId="0" xfId="0" applyNumberFormat="1" applyFont="1" applyFill="1" applyAlignment="1">
      <alignment horizontal="center" vertical="center"/>
    </xf>
    <xf numFmtId="167" fontId="24" fillId="0" borderId="2" xfId="0" applyNumberFormat="1" applyFont="1" applyBorder="1" applyAlignment="1">
      <alignment horizontal="center" vertical="center"/>
    </xf>
    <xf numFmtId="167" fontId="24" fillId="0" borderId="3" xfId="0" applyNumberFormat="1" applyFont="1" applyBorder="1" applyAlignment="1">
      <alignment horizontal="center" vertical="center"/>
    </xf>
    <xf numFmtId="40" fontId="46" fillId="0" borderId="0" xfId="0" applyNumberFormat="1" applyFont="1" applyAlignment="1">
      <alignment horizontal="centerContinuous"/>
    </xf>
    <xf numFmtId="164" fontId="3" fillId="4" borderId="2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5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vertical="center" wrapText="1"/>
    </xf>
    <xf numFmtId="0" fontId="47" fillId="6" borderId="0" xfId="0" applyFont="1" applyFill="1" applyAlignment="1">
      <alignment horizontal="center" vertical="center"/>
    </xf>
    <xf numFmtId="0" fontId="48" fillId="0" borderId="0" xfId="0" applyFont="1"/>
    <xf numFmtId="10" fontId="0" fillId="0" borderId="0" xfId="2" applyNumberFormat="1" applyFont="1"/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2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878787"/>
      <rgbColor rgb="FF1F3864"/>
      <rgbColor rgb="FF339966"/>
      <rgbColor rgb="FF003300"/>
      <rgbColor rgb="FF333300"/>
      <rgbColor rgb="FF993300"/>
      <rgbColor rgb="FF7030A0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1C5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/>
            </a:pPr>
            <a:r>
              <a:rPr lang="es-CO" sz="1800"/>
              <a:t>Actividad Económica - Var YoY 12M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'1_Actividad_Economica'!$C$23</c:f>
              <c:strCache>
                <c:ptCount val="1"/>
                <c:pt idx="0">
                  <c:v>BRASIL</c:v>
                </c:pt>
              </c:strCache>
            </c:strRef>
          </c:tx>
          <c:spPr>
            <a:ln w="28440">
              <a:solidFill>
                <a:srgbClr val="51C5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'1_Actividad_Economica'!$B$24:$B$86</c:f>
              <c:numCache>
                <c:formatCode>mmm\-yy</c:formatCode>
                <c:ptCount val="63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  <c:pt idx="18">
                  <c:v>44805</c:v>
                </c:pt>
                <c:pt idx="19">
                  <c:v>44835</c:v>
                </c:pt>
                <c:pt idx="20">
                  <c:v>44866</c:v>
                </c:pt>
                <c:pt idx="21">
                  <c:v>44896</c:v>
                </c:pt>
                <c:pt idx="22">
                  <c:v>44927</c:v>
                </c:pt>
                <c:pt idx="23">
                  <c:v>44958</c:v>
                </c:pt>
                <c:pt idx="24">
                  <c:v>44986</c:v>
                </c:pt>
                <c:pt idx="25">
                  <c:v>45017</c:v>
                </c:pt>
                <c:pt idx="26">
                  <c:v>45047</c:v>
                </c:pt>
                <c:pt idx="27">
                  <c:v>45078</c:v>
                </c:pt>
                <c:pt idx="28">
                  <c:v>45108</c:v>
                </c:pt>
                <c:pt idx="29">
                  <c:v>45139</c:v>
                </c:pt>
                <c:pt idx="30">
                  <c:v>45170</c:v>
                </c:pt>
                <c:pt idx="31">
                  <c:v>45200</c:v>
                </c:pt>
                <c:pt idx="32">
                  <c:v>45231</c:v>
                </c:pt>
                <c:pt idx="33">
                  <c:v>45261</c:v>
                </c:pt>
                <c:pt idx="34">
                  <c:v>45292</c:v>
                </c:pt>
                <c:pt idx="35">
                  <c:v>45323</c:v>
                </c:pt>
                <c:pt idx="36">
                  <c:v>45352</c:v>
                </c:pt>
                <c:pt idx="37">
                  <c:v>45383</c:v>
                </c:pt>
                <c:pt idx="38">
                  <c:v>45413</c:v>
                </c:pt>
                <c:pt idx="39">
                  <c:v>45444</c:v>
                </c:pt>
                <c:pt idx="40">
                  <c:v>45474</c:v>
                </c:pt>
                <c:pt idx="41">
                  <c:v>45505</c:v>
                </c:pt>
                <c:pt idx="42">
                  <c:v>45536</c:v>
                </c:pt>
                <c:pt idx="43">
                  <c:v>45566</c:v>
                </c:pt>
                <c:pt idx="44">
                  <c:v>45597</c:v>
                </c:pt>
                <c:pt idx="45">
                  <c:v>45627</c:v>
                </c:pt>
                <c:pt idx="46">
                  <c:v>45658</c:v>
                </c:pt>
                <c:pt idx="47">
                  <c:v>45689</c:v>
                </c:pt>
                <c:pt idx="48">
                  <c:v>45717</c:v>
                </c:pt>
                <c:pt idx="49">
                  <c:v>45748</c:v>
                </c:pt>
                <c:pt idx="50">
                  <c:v>45778</c:v>
                </c:pt>
                <c:pt idx="51">
                  <c:v>45809</c:v>
                </c:pt>
                <c:pt idx="52">
                  <c:v>45839</c:v>
                </c:pt>
                <c:pt idx="53">
                  <c:v>45870</c:v>
                </c:pt>
                <c:pt idx="54">
                  <c:v>45901</c:v>
                </c:pt>
                <c:pt idx="55">
                  <c:v>45931</c:v>
                </c:pt>
                <c:pt idx="56">
                  <c:v>45962</c:v>
                </c:pt>
                <c:pt idx="57">
                  <c:v>45992</c:v>
                </c:pt>
                <c:pt idx="58">
                  <c:v>46023</c:v>
                </c:pt>
                <c:pt idx="59">
                  <c:v>46054</c:v>
                </c:pt>
                <c:pt idx="60">
                  <c:v>46082</c:v>
                </c:pt>
                <c:pt idx="61">
                  <c:v>46113</c:v>
                </c:pt>
                <c:pt idx="62">
                  <c:v>46143</c:v>
                </c:pt>
              </c:numCache>
            </c:numRef>
          </c:cat>
          <c:val>
            <c:numRef>
              <c:f>'1_Actividad_Economica'!$C$24:$C$86</c:f>
              <c:numCache>
                <c:formatCode>0.00%;[Red]\(0.00%\);\-</c:formatCode>
                <c:ptCount val="63"/>
                <c:pt idx="0">
                  <c:v>6.1087869094470101E-2</c:v>
                </c:pt>
                <c:pt idx="1">
                  <c:v>0.163384139234623</c:v>
                </c:pt>
                <c:pt idx="2">
                  <c:v>0.139702053929186</c:v>
                </c:pt>
                <c:pt idx="3">
                  <c:v>8.4005813940407195E-2</c:v>
                </c:pt>
                <c:pt idx="4">
                  <c:v>4.4950169574772499E-2</c:v>
                </c:pt>
                <c:pt idx="5">
                  <c:v>4.4140440460827698E-2</c:v>
                </c:pt>
                <c:pt idx="6">
                  <c:v>1.25600999923603E-2</c:v>
                </c:pt>
                <c:pt idx="7">
                  <c:v>-1.39897845129486E-2</c:v>
                </c:pt>
                <c:pt idx="8">
                  <c:v>1.3290417073958999E-2</c:v>
                </c:pt>
                <c:pt idx="9">
                  <c:v>1.85802952795475E-2</c:v>
                </c:pt>
                <c:pt idx="10">
                  <c:v>-1.0432074161198499E-3</c:v>
                </c:pt>
                <c:pt idx="11">
                  <c:v>1.79731760429231E-2</c:v>
                </c:pt>
                <c:pt idx="12">
                  <c:v>3.4819221940806298E-2</c:v>
                </c:pt>
                <c:pt idx="13">
                  <c:v>2.9843750385717599E-2</c:v>
                </c:pt>
                <c:pt idx="14">
                  <c:v>3.8654782414550497E-2</c:v>
                </c:pt>
                <c:pt idx="15">
                  <c:v>3.0049380917184499E-2</c:v>
                </c:pt>
                <c:pt idx="16">
                  <c:v>4.23160340300952E-2</c:v>
                </c:pt>
                <c:pt idx="17">
                  <c:v>5.4276227870494201E-2</c:v>
                </c:pt>
                <c:pt idx="18">
                  <c:v>4.2360668971581403E-2</c:v>
                </c:pt>
                <c:pt idx="19">
                  <c:v>3.86162885424906E-2</c:v>
                </c:pt>
                <c:pt idx="20">
                  <c:v>1.2939688792553901E-2</c:v>
                </c:pt>
                <c:pt idx="21">
                  <c:v>6.77139150771455E-3</c:v>
                </c:pt>
                <c:pt idx="22">
                  <c:v>3.7448177300622998E-2</c:v>
                </c:pt>
                <c:pt idx="23">
                  <c:v>3.2039658212953001E-2</c:v>
                </c:pt>
                <c:pt idx="24">
                  <c:v>5.8574797104680602E-2</c:v>
                </c:pt>
                <c:pt idx="25">
                  <c:v>3.8084628268024098E-2</c:v>
                </c:pt>
                <c:pt idx="26">
                  <c:v>3.0352482904627099E-2</c:v>
                </c:pt>
                <c:pt idx="27">
                  <c:v>2.9972233453394101E-2</c:v>
                </c:pt>
                <c:pt idx="28">
                  <c:v>1.3165815781268001E-2</c:v>
                </c:pt>
                <c:pt idx="29">
                  <c:v>1.46448772251226E-2</c:v>
                </c:pt>
                <c:pt idx="30">
                  <c:v>6.1947887119908601E-3</c:v>
                </c:pt>
                <c:pt idx="31">
                  <c:v>1.78847583528077E-2</c:v>
                </c:pt>
                <c:pt idx="32">
                  <c:v>2.6417849600409701E-2</c:v>
                </c:pt>
                <c:pt idx="33">
                  <c:v>1.7135196518516301E-2</c:v>
                </c:pt>
                <c:pt idx="34">
                  <c:v>4.2622174189823399E-2</c:v>
                </c:pt>
                <c:pt idx="35">
                  <c:v>3.5730757364674397E-2</c:v>
                </c:pt>
                <c:pt idx="36">
                  <c:v>-9.8328424014221295E-3</c:v>
                </c:pt>
                <c:pt idx="37">
                  <c:v>5.0909334065835803E-2</c:v>
                </c:pt>
                <c:pt idx="38">
                  <c:v>1.8850357908765599E-2</c:v>
                </c:pt>
                <c:pt idx="39">
                  <c:v>3.4518453231938501E-2</c:v>
                </c:pt>
                <c:pt idx="40">
                  <c:v>5.8813704343970701E-2</c:v>
                </c:pt>
                <c:pt idx="41">
                  <c:v>3.7944179414998398E-2</c:v>
                </c:pt>
                <c:pt idx="42">
                  <c:v>5.24996211489124E-2</c:v>
                </c:pt>
                <c:pt idx="43">
                  <c:v>7.1126588377815797E-2</c:v>
                </c:pt>
                <c:pt idx="44">
                  <c:v>3.7177668749311499E-2</c:v>
                </c:pt>
                <c:pt idx="45">
                  <c:v>2.41291426212791E-2</c:v>
                </c:pt>
                <c:pt idx="46">
                  <c:v>3.59405466187235E-2</c:v>
                </c:pt>
                <c:pt idx="47">
                  <c:v>4.6765029749828803E-2</c:v>
                </c:pt>
                <c:pt idx="48">
                  <c:v>4.1268499081707599E-2</c:v>
                </c:pt>
                <c:pt idx="49">
                  <c:v>3.11694168653502E-2</c:v>
                </c:pt>
                <c:pt idx="50">
                  <c:v>3.7486359297768099E-2</c:v>
                </c:pt>
                <c:pt idx="51">
                  <c:v>1.5733374383770701E-2</c:v>
                </c:pt>
                <c:pt idx="52">
                  <c:v>1.52217332818978E-2</c:v>
                </c:pt>
                <c:pt idx="53">
                  <c:v>3.7458892369701701E-3</c:v>
                </c:pt>
                <c:pt idx="54">
                  <c:v>2.2764664446625699E-2</c:v>
                </c:pt>
                <c:pt idx="55">
                  <c:v>8.7096956138923397E-3</c:v>
                </c:pt>
                <c:pt idx="56">
                  <c:v>1.09791532651673E-2</c:v>
                </c:pt>
                <c:pt idx="57">
                  <c:v>3.0703262282221901E-2</c:v>
                </c:pt>
                <c:pt idx="58">
                  <c:v>1.0705399983163199E-2</c:v>
                </c:pt>
                <c:pt idx="59">
                  <c:v>-2.6563984264724701E-3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BA-488C-AAA3-08820DD28B42}"/>
            </c:ext>
          </c:extLst>
        </c:ser>
        <c:ser>
          <c:idx val="1"/>
          <c:order val="1"/>
          <c:tx>
            <c:strRef>
              <c:f>'1_Actividad_Economica'!$D$23</c:f>
              <c:strCache>
                <c:ptCount val="1"/>
                <c:pt idx="0">
                  <c:v>CHILE</c:v>
                </c:pt>
              </c:strCache>
            </c:strRef>
          </c:tx>
          <c:spPr>
            <a:ln w="28440">
              <a:solidFill>
                <a:schemeClr val="accent3">
                  <a:lumMod val="60000"/>
                  <a:lumOff val="40000"/>
                </a:schemeClr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'1_Actividad_Economica'!$B$24:$B$86</c:f>
              <c:numCache>
                <c:formatCode>mmm\-yy</c:formatCode>
                <c:ptCount val="63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  <c:pt idx="18">
                  <c:v>44805</c:v>
                </c:pt>
                <c:pt idx="19">
                  <c:v>44835</c:v>
                </c:pt>
                <c:pt idx="20">
                  <c:v>44866</c:v>
                </c:pt>
                <c:pt idx="21">
                  <c:v>44896</c:v>
                </c:pt>
                <c:pt idx="22">
                  <c:v>44927</c:v>
                </c:pt>
                <c:pt idx="23">
                  <c:v>44958</c:v>
                </c:pt>
                <c:pt idx="24">
                  <c:v>44986</c:v>
                </c:pt>
                <c:pt idx="25">
                  <c:v>45017</c:v>
                </c:pt>
                <c:pt idx="26">
                  <c:v>45047</c:v>
                </c:pt>
                <c:pt idx="27">
                  <c:v>45078</c:v>
                </c:pt>
                <c:pt idx="28">
                  <c:v>45108</c:v>
                </c:pt>
                <c:pt idx="29">
                  <c:v>45139</c:v>
                </c:pt>
                <c:pt idx="30">
                  <c:v>45170</c:v>
                </c:pt>
                <c:pt idx="31">
                  <c:v>45200</c:v>
                </c:pt>
                <c:pt idx="32">
                  <c:v>45231</c:v>
                </c:pt>
                <c:pt idx="33">
                  <c:v>45261</c:v>
                </c:pt>
                <c:pt idx="34">
                  <c:v>45292</c:v>
                </c:pt>
                <c:pt idx="35">
                  <c:v>45323</c:v>
                </c:pt>
                <c:pt idx="36">
                  <c:v>45352</c:v>
                </c:pt>
                <c:pt idx="37">
                  <c:v>45383</c:v>
                </c:pt>
                <c:pt idx="38">
                  <c:v>45413</c:v>
                </c:pt>
                <c:pt idx="39">
                  <c:v>45444</c:v>
                </c:pt>
                <c:pt idx="40">
                  <c:v>45474</c:v>
                </c:pt>
                <c:pt idx="41">
                  <c:v>45505</c:v>
                </c:pt>
                <c:pt idx="42">
                  <c:v>45536</c:v>
                </c:pt>
                <c:pt idx="43">
                  <c:v>45566</c:v>
                </c:pt>
                <c:pt idx="44">
                  <c:v>45597</c:v>
                </c:pt>
                <c:pt idx="45">
                  <c:v>45627</c:v>
                </c:pt>
                <c:pt idx="46">
                  <c:v>45658</c:v>
                </c:pt>
                <c:pt idx="47">
                  <c:v>45689</c:v>
                </c:pt>
                <c:pt idx="48">
                  <c:v>45717</c:v>
                </c:pt>
                <c:pt idx="49">
                  <c:v>45748</c:v>
                </c:pt>
                <c:pt idx="50">
                  <c:v>45778</c:v>
                </c:pt>
                <c:pt idx="51">
                  <c:v>45809</c:v>
                </c:pt>
                <c:pt idx="52">
                  <c:v>45839</c:v>
                </c:pt>
                <c:pt idx="53">
                  <c:v>45870</c:v>
                </c:pt>
                <c:pt idx="54">
                  <c:v>45901</c:v>
                </c:pt>
                <c:pt idx="55">
                  <c:v>45931</c:v>
                </c:pt>
                <c:pt idx="56">
                  <c:v>45962</c:v>
                </c:pt>
                <c:pt idx="57">
                  <c:v>45992</c:v>
                </c:pt>
                <c:pt idx="58">
                  <c:v>46023</c:v>
                </c:pt>
                <c:pt idx="59">
                  <c:v>46054</c:v>
                </c:pt>
                <c:pt idx="60">
                  <c:v>46082</c:v>
                </c:pt>
                <c:pt idx="61">
                  <c:v>46113</c:v>
                </c:pt>
                <c:pt idx="62">
                  <c:v>46143</c:v>
                </c:pt>
              </c:numCache>
            </c:numRef>
          </c:cat>
          <c:val>
            <c:numRef>
              <c:f>'1_Actividad_Economica'!$D$24:$D$86</c:f>
              <c:numCache>
                <c:formatCode>0.00%;[Red]\(0.00%\);\-</c:formatCode>
                <c:ptCount val="63"/>
                <c:pt idx="0">
                  <c:v>6.6327425250098299E-2</c:v>
                </c:pt>
                <c:pt idx="1">
                  <c:v>0.152850359609942</c:v>
                </c:pt>
                <c:pt idx="2">
                  <c:v>0.195518294172977</c:v>
                </c:pt>
                <c:pt idx="3">
                  <c:v>0.20382431879968599</c:v>
                </c:pt>
                <c:pt idx="4">
                  <c:v>0.174249039320926</c:v>
                </c:pt>
                <c:pt idx="5">
                  <c:v>0.17966595780603398</c:v>
                </c:pt>
                <c:pt idx="6">
                  <c:v>0.13463442930236599</c:v>
                </c:pt>
                <c:pt idx="7">
                  <c:v>0.13261557495485099</c:v>
                </c:pt>
                <c:pt idx="8">
                  <c:v>0.13332037299206501</c:v>
                </c:pt>
                <c:pt idx="9">
                  <c:v>8.7511618722782097E-2</c:v>
                </c:pt>
                <c:pt idx="10">
                  <c:v>7.2095966976150699E-2</c:v>
                </c:pt>
                <c:pt idx="11">
                  <c:v>5.0054386870159701E-2</c:v>
                </c:pt>
                <c:pt idx="12">
                  <c:v>5.66965502787736E-2</c:v>
                </c:pt>
                <c:pt idx="13">
                  <c:v>5.9048563004485299E-2</c:v>
                </c:pt>
                <c:pt idx="14">
                  <c:v>5.58859181847444E-2</c:v>
                </c:pt>
                <c:pt idx="15">
                  <c:v>2.7970632563751797E-2</c:v>
                </c:pt>
                <c:pt idx="16">
                  <c:v>-4.3808421788809997E-3</c:v>
                </c:pt>
                <c:pt idx="17">
                  <c:v>6.3490712253175992E-3</c:v>
                </c:pt>
                <c:pt idx="18">
                  <c:v>1.7856372039133999E-3</c:v>
                </c:pt>
                <c:pt idx="19">
                  <c:v>-1.8790917978613E-2</c:v>
                </c:pt>
                <c:pt idx="20">
                  <c:v>-2.866486420366E-2</c:v>
                </c:pt>
                <c:pt idx="21">
                  <c:v>-1.2635246838237E-2</c:v>
                </c:pt>
                <c:pt idx="22">
                  <c:v>1.35912623781745E-2</c:v>
                </c:pt>
                <c:pt idx="23">
                  <c:v>1.6342433643252998E-3</c:v>
                </c:pt>
                <c:pt idx="24">
                  <c:v>-1.4905514158226002E-2</c:v>
                </c:pt>
                <c:pt idx="25">
                  <c:v>-4.9711935165639995E-3</c:v>
                </c:pt>
                <c:pt idx="26">
                  <c:v>-5.9935949482020001E-3</c:v>
                </c:pt>
                <c:pt idx="27">
                  <c:v>2.7461043058110002E-4</c:v>
                </c:pt>
                <c:pt idx="28">
                  <c:v>2.9153413219811498E-2</c:v>
                </c:pt>
                <c:pt idx="29">
                  <c:v>4.1833633693122005E-3</c:v>
                </c:pt>
                <c:pt idx="30">
                  <c:v>9.0236184963746E-3</c:v>
                </c:pt>
                <c:pt idx="31">
                  <c:v>2.3886867770405898E-2</c:v>
                </c:pt>
                <c:pt idx="32">
                  <c:v>2.2813485961918501E-2</c:v>
                </c:pt>
                <c:pt idx="33">
                  <c:v>5.4210593170122001E-3</c:v>
                </c:pt>
                <c:pt idx="34">
                  <c:v>3.7449616098781502E-2</c:v>
                </c:pt>
                <c:pt idx="35">
                  <c:v>5.8365278260983595E-2</c:v>
                </c:pt>
                <c:pt idx="36">
                  <c:v>1.18465996577537E-2</c:v>
                </c:pt>
                <c:pt idx="37">
                  <c:v>3.8954766293202901E-2</c:v>
                </c:pt>
                <c:pt idx="38">
                  <c:v>3.2789354512444001E-3</c:v>
                </c:pt>
                <c:pt idx="39">
                  <c:v>-7.12954041262E-3</c:v>
                </c:pt>
                <c:pt idx="40">
                  <c:v>4.4914944309512199E-2</c:v>
                </c:pt>
                <c:pt idx="41">
                  <c:v>2.2341186703802796E-2</c:v>
                </c:pt>
                <c:pt idx="42">
                  <c:v>5.0889256205457001E-3</c:v>
                </c:pt>
                <c:pt idx="43">
                  <c:v>2.8939198553190101E-2</c:v>
                </c:pt>
                <c:pt idx="44">
                  <c:v>2.4312408563500899E-2</c:v>
                </c:pt>
                <c:pt idx="45">
                  <c:v>6.7900414272398901E-2</c:v>
                </c:pt>
                <c:pt idx="46">
                  <c:v>3.3277451570955401E-2</c:v>
                </c:pt>
                <c:pt idx="47">
                  <c:v>3.1195371691688E-3</c:v>
                </c:pt>
                <c:pt idx="48">
                  <c:v>4.9278836062191002E-2</c:v>
                </c:pt>
                <c:pt idx="49">
                  <c:v>3.8776905480207804E-2</c:v>
                </c:pt>
                <c:pt idx="50">
                  <c:v>3.9330468127213296E-2</c:v>
                </c:pt>
                <c:pt idx="51">
                  <c:v>3.3756014789805E-2</c:v>
                </c:pt>
                <c:pt idx="52">
                  <c:v>1.5968501075405199E-2</c:v>
                </c:pt>
                <c:pt idx="53">
                  <c:v>2.6960938318454E-3</c:v>
                </c:pt>
                <c:pt idx="54">
                  <c:v>3.2961209339875203E-2</c:v>
                </c:pt>
                <c:pt idx="55">
                  <c:v>2.0572659006857799E-2</c:v>
                </c:pt>
                <c:pt idx="56">
                  <c:v>1.37119538609964E-2</c:v>
                </c:pt>
                <c:pt idx="57">
                  <c:v>1.2666989233433401E-2</c:v>
                </c:pt>
                <c:pt idx="58">
                  <c:v>-5.4634544193089994E-3</c:v>
                </c:pt>
                <c:pt idx="59">
                  <c:v>-3.414740306147E-3</c:v>
                </c:pt>
                <c:pt idx="60">
                  <c:v>-1.313158240734E-3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BA-488C-AAA3-08820DD28B42}"/>
            </c:ext>
          </c:extLst>
        </c:ser>
        <c:ser>
          <c:idx val="2"/>
          <c:order val="2"/>
          <c:tx>
            <c:strRef>
              <c:f>'1_Actividad_Economica'!$E$23</c:f>
              <c:strCache>
                <c:ptCount val="1"/>
                <c:pt idx="0">
                  <c:v>COLOMBIA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'1_Actividad_Economica'!$B$24:$B$86</c:f>
              <c:numCache>
                <c:formatCode>mmm\-yy</c:formatCode>
                <c:ptCount val="63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  <c:pt idx="18">
                  <c:v>44805</c:v>
                </c:pt>
                <c:pt idx="19">
                  <c:v>44835</c:v>
                </c:pt>
                <c:pt idx="20">
                  <c:v>44866</c:v>
                </c:pt>
                <c:pt idx="21">
                  <c:v>44896</c:v>
                </c:pt>
                <c:pt idx="22">
                  <c:v>44927</c:v>
                </c:pt>
                <c:pt idx="23">
                  <c:v>44958</c:v>
                </c:pt>
                <c:pt idx="24">
                  <c:v>44986</c:v>
                </c:pt>
                <c:pt idx="25">
                  <c:v>45017</c:v>
                </c:pt>
                <c:pt idx="26">
                  <c:v>45047</c:v>
                </c:pt>
                <c:pt idx="27">
                  <c:v>45078</c:v>
                </c:pt>
                <c:pt idx="28">
                  <c:v>45108</c:v>
                </c:pt>
                <c:pt idx="29">
                  <c:v>45139</c:v>
                </c:pt>
                <c:pt idx="30">
                  <c:v>45170</c:v>
                </c:pt>
                <c:pt idx="31">
                  <c:v>45200</c:v>
                </c:pt>
                <c:pt idx="32">
                  <c:v>45231</c:v>
                </c:pt>
                <c:pt idx="33">
                  <c:v>45261</c:v>
                </c:pt>
                <c:pt idx="34">
                  <c:v>45292</c:v>
                </c:pt>
                <c:pt idx="35">
                  <c:v>45323</c:v>
                </c:pt>
                <c:pt idx="36">
                  <c:v>45352</c:v>
                </c:pt>
                <c:pt idx="37">
                  <c:v>45383</c:v>
                </c:pt>
                <c:pt idx="38">
                  <c:v>45413</c:v>
                </c:pt>
                <c:pt idx="39">
                  <c:v>45444</c:v>
                </c:pt>
                <c:pt idx="40">
                  <c:v>45474</c:v>
                </c:pt>
                <c:pt idx="41">
                  <c:v>45505</c:v>
                </c:pt>
                <c:pt idx="42">
                  <c:v>45536</c:v>
                </c:pt>
                <c:pt idx="43">
                  <c:v>45566</c:v>
                </c:pt>
                <c:pt idx="44">
                  <c:v>45597</c:v>
                </c:pt>
                <c:pt idx="45">
                  <c:v>45627</c:v>
                </c:pt>
                <c:pt idx="46">
                  <c:v>45658</c:v>
                </c:pt>
                <c:pt idx="47">
                  <c:v>45689</c:v>
                </c:pt>
                <c:pt idx="48">
                  <c:v>45717</c:v>
                </c:pt>
                <c:pt idx="49">
                  <c:v>45748</c:v>
                </c:pt>
                <c:pt idx="50">
                  <c:v>45778</c:v>
                </c:pt>
                <c:pt idx="51">
                  <c:v>45809</c:v>
                </c:pt>
                <c:pt idx="52">
                  <c:v>45839</c:v>
                </c:pt>
                <c:pt idx="53">
                  <c:v>45870</c:v>
                </c:pt>
                <c:pt idx="54">
                  <c:v>45901</c:v>
                </c:pt>
                <c:pt idx="55">
                  <c:v>45931</c:v>
                </c:pt>
                <c:pt idx="56">
                  <c:v>45962</c:v>
                </c:pt>
                <c:pt idx="57">
                  <c:v>45992</c:v>
                </c:pt>
                <c:pt idx="58">
                  <c:v>46023</c:v>
                </c:pt>
                <c:pt idx="59">
                  <c:v>46054</c:v>
                </c:pt>
                <c:pt idx="60">
                  <c:v>46082</c:v>
                </c:pt>
                <c:pt idx="61">
                  <c:v>46113</c:v>
                </c:pt>
                <c:pt idx="62">
                  <c:v>46143</c:v>
                </c:pt>
              </c:numCache>
            </c:numRef>
          </c:cat>
          <c:val>
            <c:numRef>
              <c:f>'1_Actividad_Economica'!$E$24:$E$86</c:f>
              <c:numCache>
                <c:formatCode>0.00%;[Red]\(0.00%\);\-</c:formatCode>
                <c:ptCount val="63"/>
                <c:pt idx="0">
                  <c:v>0.11199939198803861</c:v>
                </c:pt>
                <c:pt idx="1">
                  <c:v>0.25446456140779389</c:v>
                </c:pt>
                <c:pt idx="2">
                  <c:v>0.13277725305715876</c:v>
                </c:pt>
                <c:pt idx="3">
                  <c:v>0.15401411254992922</c:v>
                </c:pt>
                <c:pt idx="4">
                  <c:v>0.13187485627808671</c:v>
                </c:pt>
                <c:pt idx="5">
                  <c:v>0.11690880947414527</c:v>
                </c:pt>
                <c:pt idx="6">
                  <c:v>0.13450793558858806</c:v>
                </c:pt>
                <c:pt idx="7">
                  <c:v>0.10179929150495752</c:v>
                </c:pt>
                <c:pt idx="8">
                  <c:v>0.10541242379524447</c:v>
                </c:pt>
                <c:pt idx="9">
                  <c:v>0.10306803304172817</c:v>
                </c:pt>
                <c:pt idx="10">
                  <c:v>7.9972834519477939E-2</c:v>
                </c:pt>
                <c:pt idx="11">
                  <c:v>6.7041080501151817E-2</c:v>
                </c:pt>
                <c:pt idx="12">
                  <c:v>7.0043441965175368E-2</c:v>
                </c:pt>
                <c:pt idx="13">
                  <c:v>0.10430781703451558</c:v>
                </c:pt>
                <c:pt idx="14">
                  <c:v>0.16759463755863466</c:v>
                </c:pt>
                <c:pt idx="15">
                  <c:v>7.769837042526874E-2</c:v>
                </c:pt>
                <c:pt idx="16">
                  <c:v>6.0038300683816603E-2</c:v>
                </c:pt>
                <c:pt idx="17">
                  <c:v>8.6926782490774734E-2</c:v>
                </c:pt>
                <c:pt idx="18">
                  <c:v>4.2251215951196033E-2</c:v>
                </c:pt>
                <c:pt idx="19">
                  <c:v>4.0724729562040804E-2</c:v>
                </c:pt>
                <c:pt idx="20">
                  <c:v>8.0419369485113629E-4</c:v>
                </c:pt>
                <c:pt idx="21">
                  <c:v>5.2409770885600438E-3</c:v>
                </c:pt>
                <c:pt idx="22">
                  <c:v>4.305896138968919E-2</c:v>
                </c:pt>
                <c:pt idx="23">
                  <c:v>2.4634885254249072E-2</c:v>
                </c:pt>
                <c:pt idx="24">
                  <c:v>1.4181155528732604E-2</c:v>
                </c:pt>
                <c:pt idx="25">
                  <c:v>-7.5974101631611293E-3</c:v>
                </c:pt>
                <c:pt idx="26">
                  <c:v>2.6545886701711654E-3</c:v>
                </c:pt>
                <c:pt idx="27">
                  <c:v>2.4934003156569275E-2</c:v>
                </c:pt>
                <c:pt idx="28">
                  <c:v>6.0355807184151898E-3</c:v>
                </c:pt>
                <c:pt idx="29">
                  <c:v>6.414358573582319E-3</c:v>
                </c:pt>
                <c:pt idx="30">
                  <c:v>-4.9181505707981896E-3</c:v>
                </c:pt>
                <c:pt idx="31">
                  <c:v>-6.6630045407444528E-3</c:v>
                </c:pt>
                <c:pt idx="32">
                  <c:v>3.7672131970792437E-2</c:v>
                </c:pt>
                <c:pt idx="33">
                  <c:v>9.3144883458560913E-3</c:v>
                </c:pt>
                <c:pt idx="34">
                  <c:v>1.6492731682158562E-2</c:v>
                </c:pt>
                <c:pt idx="35">
                  <c:v>2.3808944404296994E-2</c:v>
                </c:pt>
                <c:pt idx="36">
                  <c:v>-2.0798051911159375E-2</c:v>
                </c:pt>
                <c:pt idx="37">
                  <c:v>5.5483054805481373E-2</c:v>
                </c:pt>
                <c:pt idx="38">
                  <c:v>2.1493165339182097E-2</c:v>
                </c:pt>
                <c:pt idx="39">
                  <c:v>-1.9784613723769839E-2</c:v>
                </c:pt>
                <c:pt idx="40">
                  <c:v>3.0347177322618109E-2</c:v>
                </c:pt>
                <c:pt idx="41">
                  <c:v>1.3120245792598269E-2</c:v>
                </c:pt>
                <c:pt idx="42">
                  <c:v>5.2612709208349883E-3</c:v>
                </c:pt>
                <c:pt idx="43">
                  <c:v>3.2831687465293413E-2</c:v>
                </c:pt>
                <c:pt idx="44">
                  <c:v>1.7250363920398115E-3</c:v>
                </c:pt>
                <c:pt idx="45">
                  <c:v>3.4047774266954746E-2</c:v>
                </c:pt>
                <c:pt idx="46">
                  <c:v>1.9453393243888256E-2</c:v>
                </c:pt>
                <c:pt idx="47">
                  <c:v>1.2728179491353585E-2</c:v>
                </c:pt>
                <c:pt idx="48">
                  <c:v>4.6266754037872032E-2</c:v>
                </c:pt>
                <c:pt idx="49">
                  <c:v>1.7477031830249246E-3</c:v>
                </c:pt>
                <c:pt idx="50">
                  <c:v>2.4331562417676054E-2</c:v>
                </c:pt>
                <c:pt idx="51">
                  <c:v>3.632191213994318E-2</c:v>
                </c:pt>
                <c:pt idx="52">
                  <c:v>4.7506176973897848E-2</c:v>
                </c:pt>
                <c:pt idx="53">
                  <c:v>2.4926092288029479E-2</c:v>
                </c:pt>
                <c:pt idx="54">
                  <c:v>3.8205433016777306E-2</c:v>
                </c:pt>
                <c:pt idx="55">
                  <c:v>2.6694490401073807E-2</c:v>
                </c:pt>
                <c:pt idx="56">
                  <c:v>2.382806212325761E-2</c:v>
                </c:pt>
                <c:pt idx="57">
                  <c:v>1.7672683978170626E-2</c:v>
                </c:pt>
                <c:pt idx="58">
                  <c:v>1.4392579586485255E-2</c:v>
                </c:pt>
                <c:pt idx="59">
                  <c:v>1.6489313598929273E-2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8BA-488C-AAA3-08820DD28B42}"/>
            </c:ext>
          </c:extLst>
        </c:ser>
        <c:ser>
          <c:idx val="3"/>
          <c:order val="3"/>
          <c:tx>
            <c:strRef>
              <c:f>'1_Actividad_Economica'!$F$23</c:f>
              <c:strCache>
                <c:ptCount val="1"/>
                <c:pt idx="0">
                  <c:v>MEXICO</c:v>
                </c:pt>
              </c:strCache>
            </c:strRef>
          </c:tx>
          <c:spPr>
            <a:ln w="28440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'1_Actividad_Economica'!$B$24:$B$86</c:f>
              <c:numCache>
                <c:formatCode>mmm\-yy</c:formatCode>
                <c:ptCount val="63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  <c:pt idx="18">
                  <c:v>44805</c:v>
                </c:pt>
                <c:pt idx="19">
                  <c:v>44835</c:v>
                </c:pt>
                <c:pt idx="20">
                  <c:v>44866</c:v>
                </c:pt>
                <c:pt idx="21">
                  <c:v>44896</c:v>
                </c:pt>
                <c:pt idx="22">
                  <c:v>44927</c:v>
                </c:pt>
                <c:pt idx="23">
                  <c:v>44958</c:v>
                </c:pt>
                <c:pt idx="24">
                  <c:v>44986</c:v>
                </c:pt>
                <c:pt idx="25">
                  <c:v>45017</c:v>
                </c:pt>
                <c:pt idx="26">
                  <c:v>45047</c:v>
                </c:pt>
                <c:pt idx="27">
                  <c:v>45078</c:v>
                </c:pt>
                <c:pt idx="28">
                  <c:v>45108</c:v>
                </c:pt>
                <c:pt idx="29">
                  <c:v>45139</c:v>
                </c:pt>
                <c:pt idx="30">
                  <c:v>45170</c:v>
                </c:pt>
                <c:pt idx="31">
                  <c:v>45200</c:v>
                </c:pt>
                <c:pt idx="32">
                  <c:v>45231</c:v>
                </c:pt>
                <c:pt idx="33">
                  <c:v>45261</c:v>
                </c:pt>
                <c:pt idx="34">
                  <c:v>45292</c:v>
                </c:pt>
                <c:pt idx="35">
                  <c:v>45323</c:v>
                </c:pt>
                <c:pt idx="36">
                  <c:v>45352</c:v>
                </c:pt>
                <c:pt idx="37">
                  <c:v>45383</c:v>
                </c:pt>
                <c:pt idx="38">
                  <c:v>45413</c:v>
                </c:pt>
                <c:pt idx="39">
                  <c:v>45444</c:v>
                </c:pt>
                <c:pt idx="40">
                  <c:v>45474</c:v>
                </c:pt>
                <c:pt idx="41">
                  <c:v>45505</c:v>
                </c:pt>
                <c:pt idx="42">
                  <c:v>45536</c:v>
                </c:pt>
                <c:pt idx="43">
                  <c:v>45566</c:v>
                </c:pt>
                <c:pt idx="44">
                  <c:v>45597</c:v>
                </c:pt>
                <c:pt idx="45">
                  <c:v>45627</c:v>
                </c:pt>
                <c:pt idx="46">
                  <c:v>45658</c:v>
                </c:pt>
                <c:pt idx="47">
                  <c:v>45689</c:v>
                </c:pt>
                <c:pt idx="48">
                  <c:v>45717</c:v>
                </c:pt>
                <c:pt idx="49">
                  <c:v>45748</c:v>
                </c:pt>
                <c:pt idx="50">
                  <c:v>45778</c:v>
                </c:pt>
                <c:pt idx="51">
                  <c:v>45809</c:v>
                </c:pt>
                <c:pt idx="52">
                  <c:v>45839</c:v>
                </c:pt>
                <c:pt idx="53">
                  <c:v>45870</c:v>
                </c:pt>
                <c:pt idx="54">
                  <c:v>45901</c:v>
                </c:pt>
                <c:pt idx="55">
                  <c:v>45931</c:v>
                </c:pt>
                <c:pt idx="56">
                  <c:v>45962</c:v>
                </c:pt>
                <c:pt idx="57">
                  <c:v>45992</c:v>
                </c:pt>
                <c:pt idx="58">
                  <c:v>46023</c:v>
                </c:pt>
                <c:pt idx="59">
                  <c:v>46054</c:v>
                </c:pt>
                <c:pt idx="60">
                  <c:v>46082</c:v>
                </c:pt>
                <c:pt idx="61">
                  <c:v>46113</c:v>
                </c:pt>
                <c:pt idx="62">
                  <c:v>46143</c:v>
                </c:pt>
              </c:numCache>
            </c:numRef>
          </c:cat>
          <c:val>
            <c:numRef>
              <c:f>'1_Actividad_Economica'!$F$24:$F$86</c:f>
              <c:numCache>
                <c:formatCode>0.00%;[Red]\(0.00%\);\-</c:formatCode>
                <c:ptCount val="63"/>
                <c:pt idx="0">
                  <c:v>2.97257911296025E-2</c:v>
                </c:pt>
                <c:pt idx="1">
                  <c:v>0.26018854938061603</c:v>
                </c:pt>
                <c:pt idx="2">
                  <c:v>0.27708113185571298</c:v>
                </c:pt>
                <c:pt idx="3">
                  <c:v>0.13811555645462201</c:v>
                </c:pt>
                <c:pt idx="4">
                  <c:v>7.57206928134391E-2</c:v>
                </c:pt>
                <c:pt idx="5">
                  <c:v>4.9503871515293597E-2</c:v>
                </c:pt>
                <c:pt idx="6">
                  <c:v>8.1682310524770693E-3</c:v>
                </c:pt>
                <c:pt idx="7">
                  <c:v>-8.9320642315641389E-4</c:v>
                </c:pt>
                <c:pt idx="8">
                  <c:v>1.8047322712025499E-2</c:v>
                </c:pt>
                <c:pt idx="9">
                  <c:v>1.7107927013753098E-2</c:v>
                </c:pt>
                <c:pt idx="10">
                  <c:v>1.7843394180878401E-2</c:v>
                </c:pt>
                <c:pt idx="11">
                  <c:v>3.0091690764695499E-2</c:v>
                </c:pt>
                <c:pt idx="12">
                  <c:v>1.7973443267052601E-2</c:v>
                </c:pt>
                <c:pt idx="13">
                  <c:v>2.3845229043453601E-2</c:v>
                </c:pt>
                <c:pt idx="14">
                  <c:v>3.47578446864725E-2</c:v>
                </c:pt>
                <c:pt idx="15">
                  <c:v>1.85190957941779E-2</c:v>
                </c:pt>
                <c:pt idx="16">
                  <c:v>2.4666760406362599E-2</c:v>
                </c:pt>
                <c:pt idx="17">
                  <c:v>5.8618640268336207E-2</c:v>
                </c:pt>
                <c:pt idx="18">
                  <c:v>5.4670682414087297E-2</c:v>
                </c:pt>
                <c:pt idx="19">
                  <c:v>4.69145127929953E-2</c:v>
                </c:pt>
                <c:pt idx="20">
                  <c:v>4.6869564500061897E-2</c:v>
                </c:pt>
                <c:pt idx="21">
                  <c:v>4.3347329639315105E-2</c:v>
                </c:pt>
                <c:pt idx="22">
                  <c:v>4.7861325286248001E-2</c:v>
                </c:pt>
                <c:pt idx="23">
                  <c:v>3.6985973207341399E-2</c:v>
                </c:pt>
                <c:pt idx="24">
                  <c:v>2.4510838210762099E-2</c:v>
                </c:pt>
                <c:pt idx="25">
                  <c:v>1.7680407107691799E-2</c:v>
                </c:pt>
                <c:pt idx="26">
                  <c:v>4.14399351722336E-2</c:v>
                </c:pt>
                <c:pt idx="27">
                  <c:v>3.7945868965142203E-2</c:v>
                </c:pt>
                <c:pt idx="28">
                  <c:v>3.0478224697433397E-2</c:v>
                </c:pt>
                <c:pt idx="29">
                  <c:v>3.2712848730439802E-2</c:v>
                </c:pt>
                <c:pt idx="30">
                  <c:v>3.7658872297136596E-2</c:v>
                </c:pt>
                <c:pt idx="31">
                  <c:v>4.4585339224235694E-2</c:v>
                </c:pt>
                <c:pt idx="32">
                  <c:v>1.7266012367699399E-2</c:v>
                </c:pt>
                <c:pt idx="33">
                  <c:v>4.7222493817984899E-3</c:v>
                </c:pt>
                <c:pt idx="34">
                  <c:v>2.3404511433369902E-2</c:v>
                </c:pt>
                <c:pt idx="35">
                  <c:v>4.3466327086152896E-2</c:v>
                </c:pt>
                <c:pt idx="36">
                  <c:v>-1.3765828153736901E-2</c:v>
                </c:pt>
                <c:pt idx="37">
                  <c:v>5.3812154367878E-2</c:v>
                </c:pt>
                <c:pt idx="38">
                  <c:v>1.4511885072428199E-2</c:v>
                </c:pt>
                <c:pt idx="39">
                  <c:v>-5.8409544364145909E-3</c:v>
                </c:pt>
                <c:pt idx="40">
                  <c:v>3.87659026881624E-2</c:v>
                </c:pt>
                <c:pt idx="41">
                  <c:v>3.9941834146446798E-3</c:v>
                </c:pt>
                <c:pt idx="42">
                  <c:v>-1.3975328701897598E-3</c:v>
                </c:pt>
                <c:pt idx="43">
                  <c:v>6.7506520522803704E-3</c:v>
                </c:pt>
                <c:pt idx="44">
                  <c:v>2.3546586734582301E-3</c:v>
                </c:pt>
                <c:pt idx="45">
                  <c:v>-6.4888012579814407E-3</c:v>
                </c:pt>
                <c:pt idx="46">
                  <c:v>-4.00695461686368E-3</c:v>
                </c:pt>
                <c:pt idx="47">
                  <c:v>-9.1902114632009101E-3</c:v>
                </c:pt>
                <c:pt idx="48">
                  <c:v>2.6294869719699E-2</c:v>
                </c:pt>
                <c:pt idx="49">
                  <c:v>-1.5704795453433899E-2</c:v>
                </c:pt>
                <c:pt idx="50">
                  <c:v>4.3864260811489003E-4</c:v>
                </c:pt>
                <c:pt idx="51">
                  <c:v>1.0671387368810901E-2</c:v>
                </c:pt>
                <c:pt idx="52">
                  <c:v>-9.3503260798056004E-3</c:v>
                </c:pt>
                <c:pt idx="53">
                  <c:v>-4.9035539125986795E-3</c:v>
                </c:pt>
                <c:pt idx="54">
                  <c:v>8.1959745121491807E-3</c:v>
                </c:pt>
                <c:pt idx="55">
                  <c:v>1.80248562671326E-2</c:v>
                </c:pt>
                <c:pt idx="56">
                  <c:v>-1.0726832284510101E-3</c:v>
                </c:pt>
                <c:pt idx="57">
                  <c:v>3.26079508191566E-2</c:v>
                </c:pt>
                <c:pt idx="58">
                  <c:v>-2.96808367985065E-3</c:v>
                </c:pt>
                <c:pt idx="59">
                  <c:v>-2.6110932801167103E-3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8BA-488C-AAA3-08820DD28B42}"/>
            </c:ext>
          </c:extLst>
        </c:ser>
        <c:ser>
          <c:idx val="4"/>
          <c:order val="4"/>
          <c:tx>
            <c:strRef>
              <c:f>'1_Actividad_Economica'!$G$23</c:f>
              <c:strCache>
                <c:ptCount val="1"/>
                <c:pt idx="0">
                  <c:v>PERU</c:v>
                </c:pt>
              </c:strCache>
            </c:strRef>
          </c:tx>
          <c:spPr>
            <a:ln w="28440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'1_Actividad_Economica'!$B$24:$B$86</c:f>
              <c:numCache>
                <c:formatCode>mmm\-yy</c:formatCode>
                <c:ptCount val="63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  <c:pt idx="18">
                  <c:v>44805</c:v>
                </c:pt>
                <c:pt idx="19">
                  <c:v>44835</c:v>
                </c:pt>
                <c:pt idx="20">
                  <c:v>44866</c:v>
                </c:pt>
                <c:pt idx="21">
                  <c:v>44896</c:v>
                </c:pt>
                <c:pt idx="22">
                  <c:v>44927</c:v>
                </c:pt>
                <c:pt idx="23">
                  <c:v>44958</c:v>
                </c:pt>
                <c:pt idx="24">
                  <c:v>44986</c:v>
                </c:pt>
                <c:pt idx="25">
                  <c:v>45017</c:v>
                </c:pt>
                <c:pt idx="26">
                  <c:v>45047</c:v>
                </c:pt>
                <c:pt idx="27">
                  <c:v>45078</c:v>
                </c:pt>
                <c:pt idx="28">
                  <c:v>45108</c:v>
                </c:pt>
                <c:pt idx="29">
                  <c:v>45139</c:v>
                </c:pt>
                <c:pt idx="30">
                  <c:v>45170</c:v>
                </c:pt>
                <c:pt idx="31">
                  <c:v>45200</c:v>
                </c:pt>
                <c:pt idx="32">
                  <c:v>45231</c:v>
                </c:pt>
                <c:pt idx="33">
                  <c:v>45261</c:v>
                </c:pt>
                <c:pt idx="34">
                  <c:v>45292</c:v>
                </c:pt>
                <c:pt idx="35">
                  <c:v>45323</c:v>
                </c:pt>
                <c:pt idx="36">
                  <c:v>45352</c:v>
                </c:pt>
                <c:pt idx="37">
                  <c:v>45383</c:v>
                </c:pt>
                <c:pt idx="38">
                  <c:v>45413</c:v>
                </c:pt>
                <c:pt idx="39">
                  <c:v>45444</c:v>
                </c:pt>
                <c:pt idx="40">
                  <c:v>45474</c:v>
                </c:pt>
                <c:pt idx="41">
                  <c:v>45505</c:v>
                </c:pt>
                <c:pt idx="42">
                  <c:v>45536</c:v>
                </c:pt>
                <c:pt idx="43">
                  <c:v>45566</c:v>
                </c:pt>
                <c:pt idx="44">
                  <c:v>45597</c:v>
                </c:pt>
                <c:pt idx="45">
                  <c:v>45627</c:v>
                </c:pt>
                <c:pt idx="46">
                  <c:v>45658</c:v>
                </c:pt>
                <c:pt idx="47">
                  <c:v>45689</c:v>
                </c:pt>
                <c:pt idx="48">
                  <c:v>45717</c:v>
                </c:pt>
                <c:pt idx="49">
                  <c:v>45748</c:v>
                </c:pt>
                <c:pt idx="50">
                  <c:v>45778</c:v>
                </c:pt>
                <c:pt idx="51">
                  <c:v>45809</c:v>
                </c:pt>
                <c:pt idx="52">
                  <c:v>45839</c:v>
                </c:pt>
                <c:pt idx="53">
                  <c:v>45870</c:v>
                </c:pt>
                <c:pt idx="54">
                  <c:v>45901</c:v>
                </c:pt>
                <c:pt idx="55">
                  <c:v>45931</c:v>
                </c:pt>
                <c:pt idx="56">
                  <c:v>45962</c:v>
                </c:pt>
                <c:pt idx="57">
                  <c:v>45992</c:v>
                </c:pt>
                <c:pt idx="58">
                  <c:v>46023</c:v>
                </c:pt>
                <c:pt idx="59">
                  <c:v>46054</c:v>
                </c:pt>
                <c:pt idx="60">
                  <c:v>46082</c:v>
                </c:pt>
                <c:pt idx="61">
                  <c:v>46113</c:v>
                </c:pt>
                <c:pt idx="62">
                  <c:v>46143</c:v>
                </c:pt>
              </c:numCache>
            </c:numRef>
          </c:cat>
          <c:val>
            <c:numRef>
              <c:f>'1_Actividad_Economica'!$G$24:$G$86</c:f>
              <c:numCache>
                <c:formatCode>0.00%;[Red]\(0.00%\);\-</c:formatCode>
                <c:ptCount val="63"/>
                <c:pt idx="0">
                  <c:v>0.19900000000000001</c:v>
                </c:pt>
                <c:pt idx="1">
                  <c:v>0.59899999999999998</c:v>
                </c:pt>
                <c:pt idx="2">
                  <c:v>0.48599999999999999</c:v>
                </c:pt>
                <c:pt idx="3">
                  <c:v>0.23400000000000001</c:v>
                </c:pt>
                <c:pt idx="4">
                  <c:v>0.13300000000000001</c:v>
                </c:pt>
                <c:pt idx="5">
                  <c:v>0.12</c:v>
                </c:pt>
                <c:pt idx="6">
                  <c:v>0.1</c:v>
                </c:pt>
                <c:pt idx="7">
                  <c:v>4.8000000000000001E-2</c:v>
                </c:pt>
                <c:pt idx="8">
                  <c:v>3.7999999999999999E-2</c:v>
                </c:pt>
                <c:pt idx="9">
                  <c:v>0.02</c:v>
                </c:pt>
                <c:pt idx="10">
                  <c:v>3.1E-2</c:v>
                </c:pt>
                <c:pt idx="11">
                  <c:v>4.8000000000000001E-2</c:v>
                </c:pt>
                <c:pt idx="12">
                  <c:v>3.9E-2</c:v>
                </c:pt>
                <c:pt idx="13">
                  <c:v>0.04</c:v>
                </c:pt>
                <c:pt idx="14">
                  <c:v>2.5000000000000001E-2</c:v>
                </c:pt>
                <c:pt idx="15">
                  <c:v>3.6999999999999998E-2</c:v>
                </c:pt>
                <c:pt idx="16">
                  <c:v>0.02</c:v>
                </c:pt>
                <c:pt idx="17">
                  <c:v>0.02</c:v>
                </c:pt>
                <c:pt idx="18">
                  <c:v>2.1999999999999999E-2</c:v>
                </c:pt>
                <c:pt idx="19">
                  <c:v>2.5999999999999999E-2</c:v>
                </c:pt>
                <c:pt idx="20">
                  <c:v>2.1999999999999999E-2</c:v>
                </c:pt>
                <c:pt idx="21">
                  <c:v>1.2999999999999999E-2</c:v>
                </c:pt>
                <c:pt idx="22">
                  <c:v>-5.0000000000000001E-3</c:v>
                </c:pt>
                <c:pt idx="23">
                  <c:v>-3.0000000000000001E-3</c:v>
                </c:pt>
                <c:pt idx="24">
                  <c:v>8.9999999999999993E-3</c:v>
                </c:pt>
                <c:pt idx="25">
                  <c:v>8.0000000000000002E-3</c:v>
                </c:pt>
                <c:pt idx="26">
                  <c:v>-1.0999999999999999E-2</c:v>
                </c:pt>
                <c:pt idx="27">
                  <c:v>-7.0000000000000001E-3</c:v>
                </c:pt>
                <c:pt idx="28">
                  <c:v>-0.01</c:v>
                </c:pt>
                <c:pt idx="29">
                  <c:v>1E-3</c:v>
                </c:pt>
                <c:pt idx="30">
                  <c:v>-8.9999999999999993E-3</c:v>
                </c:pt>
                <c:pt idx="31">
                  <c:v>-7.0000000000000001E-3</c:v>
                </c:pt>
                <c:pt idx="32">
                  <c:v>6.0000000000000001E-3</c:v>
                </c:pt>
                <c:pt idx="33">
                  <c:v>-1.0999999999999999E-2</c:v>
                </c:pt>
                <c:pt idx="34">
                  <c:v>1.7999999999999999E-2</c:v>
                </c:pt>
                <c:pt idx="35">
                  <c:v>3.2000000000000001E-2</c:v>
                </c:pt>
                <c:pt idx="36">
                  <c:v>-4.0000000000000001E-3</c:v>
                </c:pt>
                <c:pt idx="37">
                  <c:v>5.5E-2</c:v>
                </c:pt>
                <c:pt idx="38">
                  <c:v>5.7000000000000002E-2</c:v>
                </c:pt>
                <c:pt idx="39">
                  <c:v>4.0000000000000001E-3</c:v>
                </c:pt>
                <c:pt idx="40">
                  <c:v>4.9000000000000002E-2</c:v>
                </c:pt>
                <c:pt idx="41">
                  <c:v>0.04</c:v>
                </c:pt>
                <c:pt idx="42">
                  <c:v>3.5000000000000003E-2</c:v>
                </c:pt>
                <c:pt idx="43">
                  <c:v>3.7999999999999999E-2</c:v>
                </c:pt>
                <c:pt idx="44">
                  <c:v>4.3999999999999997E-2</c:v>
                </c:pt>
                <c:pt idx="45">
                  <c:v>5.0999999999999997E-2</c:v>
                </c:pt>
                <c:pt idx="46">
                  <c:v>4.2999999999999997E-2</c:v>
                </c:pt>
                <c:pt idx="47">
                  <c:v>2.9000000000000001E-2</c:v>
                </c:pt>
                <c:pt idx="48">
                  <c:v>4.8000000000000001E-2</c:v>
                </c:pt>
                <c:pt idx="49">
                  <c:v>1.4E-2</c:v>
                </c:pt>
                <c:pt idx="50">
                  <c:v>2.3E-2</c:v>
                </c:pt>
                <c:pt idx="51">
                  <c:v>4.9000000000000002E-2</c:v>
                </c:pt>
                <c:pt idx="52">
                  <c:v>3.5999999999999997E-2</c:v>
                </c:pt>
                <c:pt idx="53">
                  <c:v>3.3000000000000002E-2</c:v>
                </c:pt>
                <c:pt idx="54">
                  <c:v>4.4999999999999998E-2</c:v>
                </c:pt>
                <c:pt idx="55">
                  <c:v>4.1000000000000002E-2</c:v>
                </c:pt>
                <c:pt idx="56">
                  <c:v>1.6E-2</c:v>
                </c:pt>
                <c:pt idx="57">
                  <c:v>3.7999999999999999E-2</c:v>
                </c:pt>
                <c:pt idx="58">
                  <c:v>3.5000000000000003E-2</c:v>
                </c:pt>
                <c:pt idx="59">
                  <c:v>3.6999999999999998E-2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8BA-488C-AAA3-08820DD28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92040"/>
        <c:axId val="7665787"/>
      </c:lineChart>
      <c:dateAx>
        <c:axId val="679204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7665787"/>
        <c:crosses val="autoZero"/>
        <c:auto val="1"/>
        <c:lblOffset val="100"/>
        <c:baseTimeUnit val="months"/>
      </c:dateAx>
      <c:valAx>
        <c:axId val="766578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CO"/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67920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4"/>
      </a:solidFill>
      <a:round/>
    </a:ln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/>
            </a:pPr>
            <a:r>
              <a:rPr lang="es-CO" sz="1800"/>
              <a:t>Ventas Retail - Var YoY 12M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'2_Ventas_Retail'!$C$23</c:f>
              <c:strCache>
                <c:ptCount val="1"/>
                <c:pt idx="0">
                  <c:v>BRASIL</c:v>
                </c:pt>
              </c:strCache>
            </c:strRef>
          </c:tx>
          <c:spPr>
            <a:ln w="28440">
              <a:solidFill>
                <a:srgbClr val="51C5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'2_Ventas_Retail'!$B$24:$B$82</c:f>
              <c:numCache>
                <c:formatCode>mmm\-yy</c:formatCode>
                <c:ptCount val="59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</c:numCache>
            </c:numRef>
          </c:cat>
          <c:val>
            <c:numRef>
              <c:f>'2_Ventas_Retail'!$C$24:$C$82</c:f>
              <c:numCache>
                <c:formatCode>0.00%;[Red]\(0.00%\);\-</c:formatCode>
                <c:ptCount val="59"/>
                <c:pt idx="0">
                  <c:v>0.24</c:v>
                </c:pt>
                <c:pt idx="1">
                  <c:v>0.16</c:v>
                </c:pt>
                <c:pt idx="2">
                  <c:v>0.06</c:v>
                </c:pt>
                <c:pt idx="3">
                  <c:v>-0.03</c:v>
                </c:pt>
                <c:pt idx="4">
                  <c:v>-0.05</c:v>
                </c:pt>
                <c:pt idx="5">
                  <c:v>-7.0000000000000007E-2</c:v>
                </c:pt>
                <c:pt idx="6">
                  <c:v>-7.0000000000000007E-2</c:v>
                </c:pt>
                <c:pt idx="7">
                  <c:v>-0.03</c:v>
                </c:pt>
                <c:pt idx="8">
                  <c:v>-0.01</c:v>
                </c:pt>
                <c:pt idx="9">
                  <c:v>-0.01</c:v>
                </c:pt>
                <c:pt idx="10">
                  <c:v>0</c:v>
                </c:pt>
                <c:pt idx="11">
                  <c:v>0.05</c:v>
                </c:pt>
                <c:pt idx="12">
                  <c:v>0.04</c:v>
                </c:pt>
                <c:pt idx="13">
                  <c:v>0</c:v>
                </c:pt>
                <c:pt idx="14">
                  <c:v>0.01</c:v>
                </c:pt>
                <c:pt idx="15">
                  <c:v>0.02</c:v>
                </c:pt>
                <c:pt idx="16">
                  <c:v>0.03</c:v>
                </c:pt>
                <c:pt idx="17">
                  <c:v>0.03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-0.01</c:v>
                </c:pt>
                <c:pt idx="24">
                  <c:v>0</c:v>
                </c:pt>
                <c:pt idx="25">
                  <c:v>0</c:v>
                </c:pt>
                <c:pt idx="26">
                  <c:v>0.01</c:v>
                </c:pt>
                <c:pt idx="27">
                  <c:v>0.01</c:v>
                </c:pt>
                <c:pt idx="28">
                  <c:v>0.02</c:v>
                </c:pt>
                <c:pt idx="29">
                  <c:v>0.02</c:v>
                </c:pt>
                <c:pt idx="30">
                  <c:v>0.01</c:v>
                </c:pt>
                <c:pt idx="31">
                  <c:v>0.02</c:v>
                </c:pt>
                <c:pt idx="32">
                  <c:v>0.03</c:v>
                </c:pt>
                <c:pt idx="33">
                  <c:v>0.04</c:v>
                </c:pt>
                <c:pt idx="34">
                  <c:v>0.02</c:v>
                </c:pt>
                <c:pt idx="35">
                  <c:v>0.02</c:v>
                </c:pt>
                <c:pt idx="36">
                  <c:v>0.01</c:v>
                </c:pt>
                <c:pt idx="37">
                  <c:v>0.02</c:v>
                </c:pt>
                <c:pt idx="38">
                  <c:v>0.03</c:v>
                </c:pt>
                <c:pt idx="39">
                  <c:v>0.02</c:v>
                </c:pt>
                <c:pt idx="40">
                  <c:v>0.04</c:v>
                </c:pt>
                <c:pt idx="41">
                  <c:v>0.01</c:v>
                </c:pt>
                <c:pt idx="42">
                  <c:v>-0.01</c:v>
                </c:pt>
                <c:pt idx="43">
                  <c:v>0</c:v>
                </c:pt>
                <c:pt idx="44">
                  <c:v>0.02</c:v>
                </c:pt>
                <c:pt idx="45">
                  <c:v>0</c:v>
                </c:pt>
                <c:pt idx="46">
                  <c:v>0.01</c:v>
                </c:pt>
                <c:pt idx="47">
                  <c:v>5.3999999999999999E-2</c:v>
                </c:pt>
                <c:pt idx="48">
                  <c:v>1.7999999999999999E-2</c:v>
                </c:pt>
                <c:pt idx="49">
                  <c:v>5.0000000000000001E-3</c:v>
                </c:pt>
                <c:pt idx="50">
                  <c:v>1.2999999999999999E-2</c:v>
                </c:pt>
                <c:pt idx="51">
                  <c:v>4.0000000000000001E-3</c:v>
                </c:pt>
                <c:pt idx="52">
                  <c:v>8.9999999999999993E-3</c:v>
                </c:pt>
                <c:pt idx="53">
                  <c:v>0.01</c:v>
                </c:pt>
                <c:pt idx="54">
                  <c:v>1.4999999999999999E-2</c:v>
                </c:pt>
                <c:pt idx="55">
                  <c:v>2.4E-2</c:v>
                </c:pt>
                <c:pt idx="56">
                  <c:v>2.7E-2</c:v>
                </c:pt>
                <c:pt idx="57">
                  <c:v>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F7-4714-B938-6B310A89EE8C}"/>
            </c:ext>
          </c:extLst>
        </c:ser>
        <c:ser>
          <c:idx val="1"/>
          <c:order val="1"/>
          <c:tx>
            <c:strRef>
              <c:f>'2_Ventas_Retail'!$D$23</c:f>
              <c:strCache>
                <c:ptCount val="1"/>
                <c:pt idx="0">
                  <c:v>CHILE</c:v>
                </c:pt>
              </c:strCache>
            </c:strRef>
          </c:tx>
          <c:spPr>
            <a:ln w="28440">
              <a:solidFill>
                <a:schemeClr val="accent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'2_Ventas_Retail'!$B$24:$B$82</c:f>
              <c:numCache>
                <c:formatCode>mmm\-yy</c:formatCode>
                <c:ptCount val="59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</c:numCache>
            </c:numRef>
          </c:cat>
          <c:val>
            <c:numRef>
              <c:f>'2_Ventas_Retail'!$D$24:$D$82</c:f>
              <c:numCache>
                <c:formatCode>0.00%;[Red]\(0.00%\);\-</c:formatCode>
                <c:ptCount val="59"/>
                <c:pt idx="0">
                  <c:v>0.38</c:v>
                </c:pt>
                <c:pt idx="1">
                  <c:v>0.6</c:v>
                </c:pt>
                <c:pt idx="2">
                  <c:v>0.57999999999999996</c:v>
                </c:pt>
                <c:pt idx="3">
                  <c:v>0.6</c:v>
                </c:pt>
                <c:pt idx="4">
                  <c:v>0.6</c:v>
                </c:pt>
                <c:pt idx="5">
                  <c:v>0.4</c:v>
                </c:pt>
                <c:pt idx="6">
                  <c:v>0.25</c:v>
                </c:pt>
                <c:pt idx="7">
                  <c:v>0.23</c:v>
                </c:pt>
                <c:pt idx="8">
                  <c:v>0.18</c:v>
                </c:pt>
                <c:pt idx="9">
                  <c:v>0.12</c:v>
                </c:pt>
                <c:pt idx="10">
                  <c:v>0.13</c:v>
                </c:pt>
                <c:pt idx="11">
                  <c:v>0.14000000000000001</c:v>
                </c:pt>
                <c:pt idx="12">
                  <c:v>0.21</c:v>
                </c:pt>
                <c:pt idx="13">
                  <c:v>-0.03</c:v>
                </c:pt>
                <c:pt idx="14">
                  <c:v>-0.08</c:v>
                </c:pt>
                <c:pt idx="15">
                  <c:v>-0.1</c:v>
                </c:pt>
                <c:pt idx="16">
                  <c:v>-0.13</c:v>
                </c:pt>
                <c:pt idx="17">
                  <c:v>-0.15</c:v>
                </c:pt>
                <c:pt idx="18">
                  <c:v>-0.1</c:v>
                </c:pt>
                <c:pt idx="19">
                  <c:v>-0.08</c:v>
                </c:pt>
                <c:pt idx="20">
                  <c:v>-7.0000000000000007E-2</c:v>
                </c:pt>
                <c:pt idx="21">
                  <c:v>-7.0000000000000007E-2</c:v>
                </c:pt>
                <c:pt idx="22">
                  <c:v>-0.08</c:v>
                </c:pt>
                <c:pt idx="23">
                  <c:v>-7.0000000000000007E-2</c:v>
                </c:pt>
                <c:pt idx="24">
                  <c:v>-0.05</c:v>
                </c:pt>
                <c:pt idx="25">
                  <c:v>-0.03</c:v>
                </c:pt>
                <c:pt idx="26">
                  <c:v>-0.01</c:v>
                </c:pt>
                <c:pt idx="27">
                  <c:v>0.01</c:v>
                </c:pt>
                <c:pt idx="28">
                  <c:v>0</c:v>
                </c:pt>
                <c:pt idx="29">
                  <c:v>0</c:v>
                </c:pt>
                <c:pt idx="30">
                  <c:v>0.01</c:v>
                </c:pt>
                <c:pt idx="31">
                  <c:v>0.02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0.06</c:v>
                </c:pt>
                <c:pt idx="36">
                  <c:v>0.04</c:v>
                </c:pt>
                <c:pt idx="37">
                  <c:v>0.03</c:v>
                </c:pt>
                <c:pt idx="38">
                  <c:v>0.04</c:v>
                </c:pt>
                <c:pt idx="39">
                  <c:v>0.05</c:v>
                </c:pt>
                <c:pt idx="40">
                  <c:v>0.04</c:v>
                </c:pt>
                <c:pt idx="41">
                  <c:v>0.03</c:v>
                </c:pt>
                <c:pt idx="42">
                  <c:v>0.04</c:v>
                </c:pt>
                <c:pt idx="43">
                  <c:v>0.05</c:v>
                </c:pt>
                <c:pt idx="44">
                  <c:v>0.06</c:v>
                </c:pt>
                <c:pt idx="45">
                  <c:v>0.05</c:v>
                </c:pt>
                <c:pt idx="46">
                  <c:v>0.04</c:v>
                </c:pt>
                <c:pt idx="47">
                  <c:v>3.1E-2</c:v>
                </c:pt>
                <c:pt idx="48">
                  <c:v>5.1999999999999998E-2</c:v>
                </c:pt>
                <c:pt idx="49">
                  <c:v>0.06</c:v>
                </c:pt>
                <c:pt idx="50">
                  <c:v>5.7000000000000002E-2</c:v>
                </c:pt>
                <c:pt idx="51">
                  <c:v>5.1999999999999998E-2</c:v>
                </c:pt>
                <c:pt idx="52">
                  <c:v>6.5000000000000002E-2</c:v>
                </c:pt>
                <c:pt idx="53">
                  <c:v>8.3000000000000004E-2</c:v>
                </c:pt>
                <c:pt idx="54">
                  <c:v>5.8000000000000003E-2</c:v>
                </c:pt>
                <c:pt idx="55">
                  <c:v>4.3999999999999997E-2</c:v>
                </c:pt>
                <c:pt idx="56">
                  <c:v>3.5999999999999997E-2</c:v>
                </c:pt>
                <c:pt idx="57">
                  <c:v>5.6000000000000001E-2</c:v>
                </c:pt>
                <c:pt idx="58">
                  <c:v>4.5999999999999999E-2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DF7-4714-B938-6B310A89EE8C}"/>
            </c:ext>
          </c:extLst>
        </c:ser>
        <c:ser>
          <c:idx val="2"/>
          <c:order val="2"/>
          <c:tx>
            <c:strRef>
              <c:f>'2_Ventas_Retail'!$E$23</c:f>
              <c:strCache>
                <c:ptCount val="1"/>
                <c:pt idx="0">
                  <c:v>COLOMBIA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'2_Ventas_Retail'!$B$24:$B$82</c:f>
              <c:numCache>
                <c:formatCode>mmm\-yy</c:formatCode>
                <c:ptCount val="59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</c:numCache>
            </c:numRef>
          </c:cat>
          <c:val>
            <c:numRef>
              <c:f>'2_Ventas_Retail'!$E$24:$E$82</c:f>
              <c:numCache>
                <c:formatCode>0.00%;[Red]\(0.00%\);\-</c:formatCode>
                <c:ptCount val="59"/>
                <c:pt idx="0">
                  <c:v>0.75</c:v>
                </c:pt>
                <c:pt idx="1">
                  <c:v>0.3</c:v>
                </c:pt>
                <c:pt idx="2">
                  <c:v>0.3</c:v>
                </c:pt>
                <c:pt idx="3">
                  <c:v>0.31</c:v>
                </c:pt>
                <c:pt idx="4">
                  <c:v>0.22</c:v>
                </c:pt>
                <c:pt idx="5">
                  <c:v>0.19</c:v>
                </c:pt>
                <c:pt idx="6">
                  <c:v>7.0000000000000007E-2</c:v>
                </c:pt>
                <c:pt idx="7">
                  <c:v>0.14000000000000001</c:v>
                </c:pt>
                <c:pt idx="8">
                  <c:v>0.21</c:v>
                </c:pt>
                <c:pt idx="9">
                  <c:v>0.14000000000000001</c:v>
                </c:pt>
                <c:pt idx="10">
                  <c:v>0.13</c:v>
                </c:pt>
                <c:pt idx="11">
                  <c:v>0.13</c:v>
                </c:pt>
                <c:pt idx="12">
                  <c:v>0.35</c:v>
                </c:pt>
                <c:pt idx="13">
                  <c:v>0.12</c:v>
                </c:pt>
                <c:pt idx="14">
                  <c:v>0.09</c:v>
                </c:pt>
                <c:pt idx="15">
                  <c:v>0.08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-0.01</c:v>
                </c:pt>
                <c:pt idx="20">
                  <c:v>-0.03</c:v>
                </c:pt>
                <c:pt idx="21">
                  <c:v>-0.05</c:v>
                </c:pt>
                <c:pt idx="22">
                  <c:v>-0.05</c:v>
                </c:pt>
                <c:pt idx="23">
                  <c:v>-0.03</c:v>
                </c:pt>
                <c:pt idx="24">
                  <c:v>-0.02</c:v>
                </c:pt>
                <c:pt idx="25">
                  <c:v>-0.02</c:v>
                </c:pt>
                <c:pt idx="26">
                  <c:v>-0.01</c:v>
                </c:pt>
                <c:pt idx="27">
                  <c:v>0.01</c:v>
                </c:pt>
                <c:pt idx="28">
                  <c:v>0</c:v>
                </c:pt>
                <c:pt idx="29">
                  <c:v>0.01</c:v>
                </c:pt>
                <c:pt idx="30">
                  <c:v>0.02</c:v>
                </c:pt>
                <c:pt idx="31">
                  <c:v>0.02</c:v>
                </c:pt>
                <c:pt idx="32">
                  <c:v>0.01</c:v>
                </c:pt>
                <c:pt idx="33">
                  <c:v>0</c:v>
                </c:pt>
                <c:pt idx="34">
                  <c:v>0.01</c:v>
                </c:pt>
                <c:pt idx="35">
                  <c:v>0.04</c:v>
                </c:pt>
                <c:pt idx="36">
                  <c:v>0.01</c:v>
                </c:pt>
                <c:pt idx="37">
                  <c:v>0.05</c:v>
                </c:pt>
                <c:pt idx="38">
                  <c:v>0.03</c:v>
                </c:pt>
                <c:pt idx="39">
                  <c:v>0.04</c:v>
                </c:pt>
                <c:pt idx="40">
                  <c:v>0.06</c:v>
                </c:pt>
                <c:pt idx="41">
                  <c:v>0.06</c:v>
                </c:pt>
                <c:pt idx="42">
                  <c:v>0.08</c:v>
                </c:pt>
                <c:pt idx="43">
                  <c:v>7.0000000000000007E-2</c:v>
                </c:pt>
                <c:pt idx="44">
                  <c:v>0.08</c:v>
                </c:pt>
                <c:pt idx="45">
                  <c:v>0.09</c:v>
                </c:pt>
                <c:pt idx="46">
                  <c:v>0.11</c:v>
                </c:pt>
                <c:pt idx="47">
                  <c:v>0.11700000000000001</c:v>
                </c:pt>
                <c:pt idx="48">
                  <c:v>0.13500000000000001</c:v>
                </c:pt>
                <c:pt idx="49">
                  <c:v>0.10299999999999999</c:v>
                </c:pt>
                <c:pt idx="50">
                  <c:v>0.182</c:v>
                </c:pt>
                <c:pt idx="51">
                  <c:v>0.125</c:v>
                </c:pt>
                <c:pt idx="52">
                  <c:v>0.14299999999999999</c:v>
                </c:pt>
                <c:pt idx="53">
                  <c:v>9.8000000000000004E-2</c:v>
                </c:pt>
                <c:pt idx="54">
                  <c:v>7.3999999999999996E-2</c:v>
                </c:pt>
                <c:pt idx="55">
                  <c:v>0.111</c:v>
                </c:pt>
                <c:pt idx="56">
                  <c:v>7.9000000000000001E-2</c:v>
                </c:pt>
                <c:pt idx="57">
                  <c:v>0.109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DF7-4714-B938-6B310A89EE8C}"/>
            </c:ext>
          </c:extLst>
        </c:ser>
        <c:ser>
          <c:idx val="3"/>
          <c:order val="3"/>
          <c:tx>
            <c:strRef>
              <c:f>'2_Ventas_Retail'!$F$23</c:f>
              <c:strCache>
                <c:ptCount val="1"/>
                <c:pt idx="0">
                  <c:v>MEXICO</c:v>
                </c:pt>
              </c:strCache>
            </c:strRef>
          </c:tx>
          <c:spPr>
            <a:ln w="28440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'2_Ventas_Retail'!$B$24:$B$82</c:f>
              <c:numCache>
                <c:formatCode>mmm\-yy</c:formatCode>
                <c:ptCount val="59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</c:numCache>
            </c:numRef>
          </c:cat>
          <c:val>
            <c:numRef>
              <c:f>'2_Ventas_Retail'!$F$24:$F$82</c:f>
              <c:numCache>
                <c:formatCode>0.00%;[Red]\(0.00%\);\-</c:formatCode>
                <c:ptCount val="59"/>
                <c:pt idx="0">
                  <c:v>0.36</c:v>
                </c:pt>
                <c:pt idx="1">
                  <c:v>0.35</c:v>
                </c:pt>
                <c:pt idx="2">
                  <c:v>0.3</c:v>
                </c:pt>
                <c:pt idx="3">
                  <c:v>0.25</c:v>
                </c:pt>
                <c:pt idx="4">
                  <c:v>0.2</c:v>
                </c:pt>
                <c:pt idx="5">
                  <c:v>0.15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0.09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0.08</c:v>
                </c:pt>
                <c:pt idx="14">
                  <c:v>0.06</c:v>
                </c:pt>
                <c:pt idx="15">
                  <c:v>0.06</c:v>
                </c:pt>
                <c:pt idx="16">
                  <c:v>0.08</c:v>
                </c:pt>
                <c:pt idx="17">
                  <c:v>0.06</c:v>
                </c:pt>
                <c:pt idx="18">
                  <c:v>0.09</c:v>
                </c:pt>
                <c:pt idx="19">
                  <c:v>0.06</c:v>
                </c:pt>
                <c:pt idx="20">
                  <c:v>7.0000000000000007E-2</c:v>
                </c:pt>
                <c:pt idx="21">
                  <c:v>0.06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0.05</c:v>
                </c:pt>
                <c:pt idx="26">
                  <c:v>0.05</c:v>
                </c:pt>
                <c:pt idx="27">
                  <c:v>0.04</c:v>
                </c:pt>
                <c:pt idx="28">
                  <c:v>0.05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0.04</c:v>
                </c:pt>
                <c:pt idx="36">
                  <c:v>0.04</c:v>
                </c:pt>
                <c:pt idx="37">
                  <c:v>0.04</c:v>
                </c:pt>
                <c:pt idx="38">
                  <c:v>0.04</c:v>
                </c:pt>
                <c:pt idx="39">
                  <c:v>0.04</c:v>
                </c:pt>
                <c:pt idx="40">
                  <c:v>0.03</c:v>
                </c:pt>
                <c:pt idx="41">
                  <c:v>0.01</c:v>
                </c:pt>
                <c:pt idx="42">
                  <c:v>0</c:v>
                </c:pt>
                <c:pt idx="43">
                  <c:v>0.04</c:v>
                </c:pt>
                <c:pt idx="44">
                  <c:v>-0.03</c:v>
                </c:pt>
                <c:pt idx="45">
                  <c:v>0.03</c:v>
                </c:pt>
                <c:pt idx="46">
                  <c:v>0.01</c:v>
                </c:pt>
                <c:pt idx="47">
                  <c:v>-1.4999999999999999E-2</c:v>
                </c:pt>
                <c:pt idx="48">
                  <c:v>2.5999999999999999E-2</c:v>
                </c:pt>
                <c:pt idx="49">
                  <c:v>3.2000000000000001E-2</c:v>
                </c:pt>
                <c:pt idx="50">
                  <c:v>2.4E-2</c:v>
                </c:pt>
                <c:pt idx="51">
                  <c:v>2.4E-2</c:v>
                </c:pt>
                <c:pt idx="52">
                  <c:v>3.3000000000000002E-2</c:v>
                </c:pt>
                <c:pt idx="53">
                  <c:v>3.4000000000000002E-2</c:v>
                </c:pt>
                <c:pt idx="54">
                  <c:v>4.3999999999999997E-2</c:v>
                </c:pt>
                <c:pt idx="55">
                  <c:v>4.2999999999999997E-2</c:v>
                </c:pt>
                <c:pt idx="56">
                  <c:v>0.05</c:v>
                </c:pt>
                <c:pt idx="57">
                  <c:v>3.1E-2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DF7-4714-B938-6B310A89E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685646"/>
        <c:axId val="70785558"/>
      </c:lineChart>
      <c:dateAx>
        <c:axId val="9168564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70785558"/>
        <c:crosses val="autoZero"/>
        <c:auto val="1"/>
        <c:lblOffset val="100"/>
        <c:baseTimeUnit val="months"/>
      </c:dateAx>
      <c:valAx>
        <c:axId val="707855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CO"/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91685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4"/>
      </a:solidFill>
      <a:round/>
    </a:ln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/>
            </a:pPr>
            <a:r>
              <a:rPr lang="es-CO" sz="1800"/>
              <a:t>Índice Confianza Empresarial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'3_Confianza_Empresarial'!$C$25</c:f>
              <c:strCache>
                <c:ptCount val="1"/>
                <c:pt idx="0">
                  <c:v>BRASIL</c:v>
                </c:pt>
              </c:strCache>
            </c:strRef>
          </c:tx>
          <c:spPr>
            <a:ln w="28440">
              <a:solidFill>
                <a:srgbClr val="51C5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'3_Confianza_Empresarial'!$B$26:$B$68</c:f>
              <c:numCache>
                <c:formatCode>mmm\-yy</c:formatCode>
                <c:ptCount val="43"/>
                <c:pt idx="0">
                  <c:v>44866</c:v>
                </c:pt>
                <c:pt idx="1">
                  <c:v>44896</c:v>
                </c:pt>
                <c:pt idx="2">
                  <c:v>44927</c:v>
                </c:pt>
                <c:pt idx="3">
                  <c:v>44958</c:v>
                </c:pt>
                <c:pt idx="4">
                  <c:v>44986</c:v>
                </c:pt>
                <c:pt idx="5">
                  <c:v>45017</c:v>
                </c:pt>
                <c:pt idx="6">
                  <c:v>45047</c:v>
                </c:pt>
                <c:pt idx="7">
                  <c:v>45078</c:v>
                </c:pt>
                <c:pt idx="8">
                  <c:v>45108</c:v>
                </c:pt>
                <c:pt idx="9">
                  <c:v>45139</c:v>
                </c:pt>
                <c:pt idx="10">
                  <c:v>45170</c:v>
                </c:pt>
                <c:pt idx="11">
                  <c:v>45200</c:v>
                </c:pt>
                <c:pt idx="12">
                  <c:v>45231</c:v>
                </c:pt>
                <c:pt idx="13">
                  <c:v>45261</c:v>
                </c:pt>
                <c:pt idx="14">
                  <c:v>45292</c:v>
                </c:pt>
                <c:pt idx="15">
                  <c:v>45323</c:v>
                </c:pt>
                <c:pt idx="16">
                  <c:v>45352</c:v>
                </c:pt>
                <c:pt idx="17">
                  <c:v>45383</c:v>
                </c:pt>
                <c:pt idx="18">
                  <c:v>45413</c:v>
                </c:pt>
                <c:pt idx="19">
                  <c:v>45444</c:v>
                </c:pt>
                <c:pt idx="20">
                  <c:v>45474</c:v>
                </c:pt>
                <c:pt idx="21">
                  <c:v>45505</c:v>
                </c:pt>
                <c:pt idx="22">
                  <c:v>45536</c:v>
                </c:pt>
                <c:pt idx="23">
                  <c:v>45566</c:v>
                </c:pt>
                <c:pt idx="24">
                  <c:v>45597</c:v>
                </c:pt>
                <c:pt idx="25">
                  <c:v>45627</c:v>
                </c:pt>
                <c:pt idx="26">
                  <c:v>45658</c:v>
                </c:pt>
                <c:pt idx="27">
                  <c:v>45689</c:v>
                </c:pt>
                <c:pt idx="28">
                  <c:v>45717</c:v>
                </c:pt>
                <c:pt idx="29">
                  <c:v>45748</c:v>
                </c:pt>
                <c:pt idx="30">
                  <c:v>45778</c:v>
                </c:pt>
                <c:pt idx="31">
                  <c:v>45809</c:v>
                </c:pt>
                <c:pt idx="32">
                  <c:v>45839</c:v>
                </c:pt>
                <c:pt idx="33">
                  <c:v>45870</c:v>
                </c:pt>
                <c:pt idx="34">
                  <c:v>45901</c:v>
                </c:pt>
                <c:pt idx="35">
                  <c:v>45931</c:v>
                </c:pt>
                <c:pt idx="36">
                  <c:v>45962</c:v>
                </c:pt>
                <c:pt idx="37">
                  <c:v>45992</c:v>
                </c:pt>
                <c:pt idx="38">
                  <c:v>46023</c:v>
                </c:pt>
                <c:pt idx="39">
                  <c:v>46054</c:v>
                </c:pt>
                <c:pt idx="40">
                  <c:v>46082</c:v>
                </c:pt>
                <c:pt idx="41">
                  <c:v>46113</c:v>
                </c:pt>
                <c:pt idx="42">
                  <c:v>46143</c:v>
                </c:pt>
              </c:numCache>
            </c:numRef>
          </c:cat>
          <c:val>
            <c:numRef>
              <c:f>'3_Confianza_Empresarial'!$C$26:$C$68</c:f>
              <c:numCache>
                <c:formatCode>0.00;[Red]\(0.00\);\-</c:formatCode>
                <c:ptCount val="43"/>
                <c:pt idx="0">
                  <c:v>60</c:v>
                </c:pt>
                <c:pt idx="1">
                  <c:v>51</c:v>
                </c:pt>
                <c:pt idx="2">
                  <c:v>53</c:v>
                </c:pt>
                <c:pt idx="3">
                  <c:v>52</c:v>
                </c:pt>
                <c:pt idx="4">
                  <c:v>49</c:v>
                </c:pt>
                <c:pt idx="5">
                  <c:v>50</c:v>
                </c:pt>
                <c:pt idx="6">
                  <c:v>51</c:v>
                </c:pt>
                <c:pt idx="7">
                  <c:v>49</c:v>
                </c:pt>
                <c:pt idx="8">
                  <c:v>49</c:v>
                </c:pt>
                <c:pt idx="9">
                  <c:v>51</c:v>
                </c:pt>
                <c:pt idx="10">
                  <c:v>50</c:v>
                </c:pt>
                <c:pt idx="11">
                  <c:v>51</c:v>
                </c:pt>
                <c:pt idx="12">
                  <c:v>53</c:v>
                </c:pt>
                <c:pt idx="13">
                  <c:v>50</c:v>
                </c:pt>
                <c:pt idx="14">
                  <c:v>50</c:v>
                </c:pt>
                <c:pt idx="15">
                  <c:v>51</c:v>
                </c:pt>
                <c:pt idx="16">
                  <c:v>53</c:v>
                </c:pt>
                <c:pt idx="17">
                  <c:v>53</c:v>
                </c:pt>
                <c:pt idx="18">
                  <c:v>53</c:v>
                </c:pt>
                <c:pt idx="19">
                  <c:v>51</c:v>
                </c:pt>
                <c:pt idx="20">
                  <c:v>52</c:v>
                </c:pt>
                <c:pt idx="21">
                  <c:v>52</c:v>
                </c:pt>
                <c:pt idx="22">
                  <c:v>50</c:v>
                </c:pt>
                <c:pt idx="23">
                  <c:v>51</c:v>
                </c:pt>
                <c:pt idx="24">
                  <c:v>53</c:v>
                </c:pt>
                <c:pt idx="25">
                  <c:v>53</c:v>
                </c:pt>
                <c:pt idx="26">
                  <c:v>51</c:v>
                </c:pt>
                <c:pt idx="27">
                  <c:v>49.1</c:v>
                </c:pt>
                <c:pt idx="28">
                  <c:v>49.2</c:v>
                </c:pt>
                <c:pt idx="29">
                  <c:v>48</c:v>
                </c:pt>
                <c:pt idx="30">
                  <c:v>48.9</c:v>
                </c:pt>
                <c:pt idx="31">
                  <c:v>48.6</c:v>
                </c:pt>
                <c:pt idx="32">
                  <c:v>47.3</c:v>
                </c:pt>
                <c:pt idx="33">
                  <c:v>46.1</c:v>
                </c:pt>
                <c:pt idx="34">
                  <c:v>46.2</c:v>
                </c:pt>
                <c:pt idx="35">
                  <c:v>47.2</c:v>
                </c:pt>
                <c:pt idx="36">
                  <c:v>48.3</c:v>
                </c:pt>
                <c:pt idx="37">
                  <c:v>48</c:v>
                </c:pt>
                <c:pt idx="38">
                  <c:v>48.5</c:v>
                </c:pt>
                <c:pt idx="39">
                  <c:v>47</c:v>
                </c:pt>
                <c:pt idx="40">
                  <c:v>46.6</c:v>
                </c:pt>
                <c:pt idx="41">
                  <c:v>45.2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B7-4C81-87A7-707C43753C91}"/>
            </c:ext>
          </c:extLst>
        </c:ser>
        <c:ser>
          <c:idx val="1"/>
          <c:order val="1"/>
          <c:tx>
            <c:strRef>
              <c:f>'3_Confianza_Empresarial'!$D$25</c:f>
              <c:strCache>
                <c:ptCount val="1"/>
                <c:pt idx="0">
                  <c:v>CHILE</c:v>
                </c:pt>
              </c:strCache>
            </c:strRef>
          </c:tx>
          <c:spPr>
            <a:ln w="28440">
              <a:solidFill>
                <a:schemeClr val="accent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'3_Confianza_Empresarial'!$B$26:$B$68</c:f>
              <c:numCache>
                <c:formatCode>mmm\-yy</c:formatCode>
                <c:ptCount val="43"/>
                <c:pt idx="0">
                  <c:v>44866</c:v>
                </c:pt>
                <c:pt idx="1">
                  <c:v>44896</c:v>
                </c:pt>
                <c:pt idx="2">
                  <c:v>44927</c:v>
                </c:pt>
                <c:pt idx="3">
                  <c:v>44958</c:v>
                </c:pt>
                <c:pt idx="4">
                  <c:v>44986</c:v>
                </c:pt>
                <c:pt idx="5">
                  <c:v>45017</c:v>
                </c:pt>
                <c:pt idx="6">
                  <c:v>45047</c:v>
                </c:pt>
                <c:pt idx="7">
                  <c:v>45078</c:v>
                </c:pt>
                <c:pt idx="8">
                  <c:v>45108</c:v>
                </c:pt>
                <c:pt idx="9">
                  <c:v>45139</c:v>
                </c:pt>
                <c:pt idx="10">
                  <c:v>45170</c:v>
                </c:pt>
                <c:pt idx="11">
                  <c:v>45200</c:v>
                </c:pt>
                <c:pt idx="12">
                  <c:v>45231</c:v>
                </c:pt>
                <c:pt idx="13">
                  <c:v>45261</c:v>
                </c:pt>
                <c:pt idx="14">
                  <c:v>45292</c:v>
                </c:pt>
                <c:pt idx="15">
                  <c:v>45323</c:v>
                </c:pt>
                <c:pt idx="16">
                  <c:v>45352</c:v>
                </c:pt>
                <c:pt idx="17">
                  <c:v>45383</c:v>
                </c:pt>
                <c:pt idx="18">
                  <c:v>45413</c:v>
                </c:pt>
                <c:pt idx="19">
                  <c:v>45444</c:v>
                </c:pt>
                <c:pt idx="20">
                  <c:v>45474</c:v>
                </c:pt>
                <c:pt idx="21">
                  <c:v>45505</c:v>
                </c:pt>
                <c:pt idx="22">
                  <c:v>45536</c:v>
                </c:pt>
                <c:pt idx="23">
                  <c:v>45566</c:v>
                </c:pt>
                <c:pt idx="24">
                  <c:v>45597</c:v>
                </c:pt>
                <c:pt idx="25">
                  <c:v>45627</c:v>
                </c:pt>
                <c:pt idx="26">
                  <c:v>45658</c:v>
                </c:pt>
                <c:pt idx="27">
                  <c:v>45689</c:v>
                </c:pt>
                <c:pt idx="28">
                  <c:v>45717</c:v>
                </c:pt>
                <c:pt idx="29">
                  <c:v>45748</c:v>
                </c:pt>
                <c:pt idx="30">
                  <c:v>45778</c:v>
                </c:pt>
                <c:pt idx="31">
                  <c:v>45809</c:v>
                </c:pt>
                <c:pt idx="32">
                  <c:v>45839</c:v>
                </c:pt>
                <c:pt idx="33">
                  <c:v>45870</c:v>
                </c:pt>
                <c:pt idx="34">
                  <c:v>45901</c:v>
                </c:pt>
                <c:pt idx="35">
                  <c:v>45931</c:v>
                </c:pt>
                <c:pt idx="36">
                  <c:v>45962</c:v>
                </c:pt>
                <c:pt idx="37">
                  <c:v>45992</c:v>
                </c:pt>
                <c:pt idx="38">
                  <c:v>46023</c:v>
                </c:pt>
                <c:pt idx="39">
                  <c:v>46054</c:v>
                </c:pt>
                <c:pt idx="40">
                  <c:v>46082</c:v>
                </c:pt>
                <c:pt idx="41">
                  <c:v>46113</c:v>
                </c:pt>
                <c:pt idx="42">
                  <c:v>46143</c:v>
                </c:pt>
              </c:numCache>
            </c:numRef>
          </c:cat>
          <c:val>
            <c:numRef>
              <c:f>'3_Confianza_Empresarial'!$D$26:$D$68</c:f>
              <c:numCache>
                <c:formatCode>0.00;[Red]\(0.00\);\-</c:formatCode>
                <c:ptCount val="43"/>
                <c:pt idx="0">
                  <c:v>40.291262135922302</c:v>
                </c:pt>
                <c:pt idx="1">
                  <c:v>42.320261437908499</c:v>
                </c:pt>
                <c:pt idx="2">
                  <c:v>42.948717948717899</c:v>
                </c:pt>
                <c:pt idx="3">
                  <c:v>42.857142857142897</c:v>
                </c:pt>
                <c:pt idx="4">
                  <c:v>44.8333333333333</c:v>
                </c:pt>
                <c:pt idx="5">
                  <c:v>43.0555555555556</c:v>
                </c:pt>
                <c:pt idx="6">
                  <c:v>43.956043956043999</c:v>
                </c:pt>
                <c:pt idx="7">
                  <c:v>44.565217391304401</c:v>
                </c:pt>
                <c:pt idx="8">
                  <c:v>46.415770609318997</c:v>
                </c:pt>
                <c:pt idx="9">
                  <c:v>46.5579710144928</c:v>
                </c:pt>
                <c:pt idx="10">
                  <c:v>47.286821705426398</c:v>
                </c:pt>
                <c:pt idx="11">
                  <c:v>45.604395604395599</c:v>
                </c:pt>
                <c:pt idx="12">
                  <c:v>44.767441860465098</c:v>
                </c:pt>
                <c:pt idx="13">
                  <c:v>46.481481481481502</c:v>
                </c:pt>
                <c:pt idx="14">
                  <c:v>48.995983935742998</c:v>
                </c:pt>
                <c:pt idx="15">
                  <c:v>50</c:v>
                </c:pt>
                <c:pt idx="16">
                  <c:v>52.551020408163303</c:v>
                </c:pt>
                <c:pt idx="17">
                  <c:v>48.387096774193601</c:v>
                </c:pt>
                <c:pt idx="18">
                  <c:v>48.148148148148202</c:v>
                </c:pt>
                <c:pt idx="19">
                  <c:v>51.481481481481502</c:v>
                </c:pt>
                <c:pt idx="20">
                  <c:v>49.059139784946197</c:v>
                </c:pt>
                <c:pt idx="21">
                  <c:v>49.553571428571402</c:v>
                </c:pt>
                <c:pt idx="22">
                  <c:v>48.967551622418902</c:v>
                </c:pt>
                <c:pt idx="23">
                  <c:v>48.473282442748101</c:v>
                </c:pt>
                <c:pt idx="24">
                  <c:v>48.717948717948701</c:v>
                </c:pt>
                <c:pt idx="25">
                  <c:v>48.425196850393696</c:v>
                </c:pt>
                <c:pt idx="26">
                  <c:v>50.6410256410256</c:v>
                </c:pt>
                <c:pt idx="27">
                  <c:v>51.917404129793503</c:v>
                </c:pt>
                <c:pt idx="28">
                  <c:v>50.5208333333333</c:v>
                </c:pt>
                <c:pt idx="29">
                  <c:v>50.819672131147499</c:v>
                </c:pt>
                <c:pt idx="30">
                  <c:v>51.881720430107499</c:v>
                </c:pt>
                <c:pt idx="31">
                  <c:v>50.4065040650407</c:v>
                </c:pt>
                <c:pt idx="32">
                  <c:v>51.2</c:v>
                </c:pt>
                <c:pt idx="33">
                  <c:v>47.899159663865497</c:v>
                </c:pt>
                <c:pt idx="34">
                  <c:v>50.150150150150097</c:v>
                </c:pt>
                <c:pt idx="35">
                  <c:v>49.107142857142797</c:v>
                </c:pt>
                <c:pt idx="36">
                  <c:v>52.066115702479301</c:v>
                </c:pt>
                <c:pt idx="37">
                  <c:v>53.623188405797102</c:v>
                </c:pt>
                <c:pt idx="38">
                  <c:v>57.614942528735597</c:v>
                </c:pt>
                <c:pt idx="39">
                  <c:v>57.669616519173999</c:v>
                </c:pt>
                <c:pt idx="40">
                  <c:v>53.003003003003002</c:v>
                </c:pt>
                <c:pt idx="41">
                  <c:v>53.735632183908102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B7-4C81-87A7-707C43753C91}"/>
            </c:ext>
          </c:extLst>
        </c:ser>
        <c:ser>
          <c:idx val="2"/>
          <c:order val="2"/>
          <c:tx>
            <c:strRef>
              <c:f>'3_Confianza_Empresarial'!$E$25</c:f>
              <c:strCache>
                <c:ptCount val="1"/>
                <c:pt idx="0">
                  <c:v>COLOMBIA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'3_Confianza_Empresarial'!$B$26:$B$68</c:f>
              <c:numCache>
                <c:formatCode>mmm\-yy</c:formatCode>
                <c:ptCount val="43"/>
                <c:pt idx="0">
                  <c:v>44866</c:v>
                </c:pt>
                <c:pt idx="1">
                  <c:v>44896</c:v>
                </c:pt>
                <c:pt idx="2">
                  <c:v>44927</c:v>
                </c:pt>
                <c:pt idx="3">
                  <c:v>44958</c:v>
                </c:pt>
                <c:pt idx="4">
                  <c:v>44986</c:v>
                </c:pt>
                <c:pt idx="5">
                  <c:v>45017</c:v>
                </c:pt>
                <c:pt idx="6">
                  <c:v>45047</c:v>
                </c:pt>
                <c:pt idx="7">
                  <c:v>45078</c:v>
                </c:pt>
                <c:pt idx="8">
                  <c:v>45108</c:v>
                </c:pt>
                <c:pt idx="9">
                  <c:v>45139</c:v>
                </c:pt>
                <c:pt idx="10">
                  <c:v>45170</c:v>
                </c:pt>
                <c:pt idx="11">
                  <c:v>45200</c:v>
                </c:pt>
                <c:pt idx="12">
                  <c:v>45231</c:v>
                </c:pt>
                <c:pt idx="13">
                  <c:v>45261</c:v>
                </c:pt>
                <c:pt idx="14">
                  <c:v>45292</c:v>
                </c:pt>
                <c:pt idx="15">
                  <c:v>45323</c:v>
                </c:pt>
                <c:pt idx="16">
                  <c:v>45352</c:v>
                </c:pt>
                <c:pt idx="17">
                  <c:v>45383</c:v>
                </c:pt>
                <c:pt idx="18">
                  <c:v>45413</c:v>
                </c:pt>
                <c:pt idx="19">
                  <c:v>45444</c:v>
                </c:pt>
                <c:pt idx="20">
                  <c:v>45474</c:v>
                </c:pt>
                <c:pt idx="21">
                  <c:v>45505</c:v>
                </c:pt>
                <c:pt idx="22">
                  <c:v>45536</c:v>
                </c:pt>
                <c:pt idx="23">
                  <c:v>45566</c:v>
                </c:pt>
                <c:pt idx="24">
                  <c:v>45597</c:v>
                </c:pt>
                <c:pt idx="25">
                  <c:v>45627</c:v>
                </c:pt>
                <c:pt idx="26">
                  <c:v>45658</c:v>
                </c:pt>
                <c:pt idx="27">
                  <c:v>45689</c:v>
                </c:pt>
                <c:pt idx="28">
                  <c:v>45717</c:v>
                </c:pt>
                <c:pt idx="29">
                  <c:v>45748</c:v>
                </c:pt>
                <c:pt idx="30">
                  <c:v>45778</c:v>
                </c:pt>
                <c:pt idx="31">
                  <c:v>45809</c:v>
                </c:pt>
                <c:pt idx="32">
                  <c:v>45839</c:v>
                </c:pt>
                <c:pt idx="33">
                  <c:v>45870</c:v>
                </c:pt>
                <c:pt idx="34">
                  <c:v>45901</c:v>
                </c:pt>
                <c:pt idx="35">
                  <c:v>45931</c:v>
                </c:pt>
                <c:pt idx="36">
                  <c:v>45962</c:v>
                </c:pt>
                <c:pt idx="37">
                  <c:v>45992</c:v>
                </c:pt>
                <c:pt idx="38">
                  <c:v>46023</c:v>
                </c:pt>
                <c:pt idx="39">
                  <c:v>46054</c:v>
                </c:pt>
                <c:pt idx="40">
                  <c:v>46082</c:v>
                </c:pt>
                <c:pt idx="41">
                  <c:v>46113</c:v>
                </c:pt>
                <c:pt idx="42">
                  <c:v>46143</c:v>
                </c:pt>
              </c:numCache>
            </c:numRef>
          </c:cat>
          <c:val>
            <c:numRef>
              <c:f>'3_Confianza_Empresarial'!$E$26:$E$68</c:f>
              <c:numCache>
                <c:formatCode>0.00;[Red]\(0.00\);\-</c:formatCode>
                <c:ptCount val="43"/>
                <c:pt idx="0">
                  <c:v>59.6</c:v>
                </c:pt>
                <c:pt idx="1">
                  <c:v>61.3</c:v>
                </c:pt>
                <c:pt idx="2">
                  <c:v>64.849999999999994</c:v>
                </c:pt>
                <c:pt idx="3">
                  <c:v>56.35</c:v>
                </c:pt>
                <c:pt idx="4">
                  <c:v>58.6</c:v>
                </c:pt>
                <c:pt idx="5">
                  <c:v>55.55</c:v>
                </c:pt>
                <c:pt idx="6">
                  <c:v>70</c:v>
                </c:pt>
                <c:pt idx="7">
                  <c:v>58.9</c:v>
                </c:pt>
                <c:pt idx="8">
                  <c:v>60.85</c:v>
                </c:pt>
                <c:pt idx="9">
                  <c:v>56.2</c:v>
                </c:pt>
                <c:pt idx="10">
                  <c:v>57.55</c:v>
                </c:pt>
                <c:pt idx="11">
                  <c:v>57.35</c:v>
                </c:pt>
                <c:pt idx="12">
                  <c:v>56.15</c:v>
                </c:pt>
                <c:pt idx="13">
                  <c:v>58.3</c:v>
                </c:pt>
                <c:pt idx="14">
                  <c:v>57.25</c:v>
                </c:pt>
                <c:pt idx="15">
                  <c:v>55.45</c:v>
                </c:pt>
                <c:pt idx="16">
                  <c:v>57.05</c:v>
                </c:pt>
                <c:pt idx="17">
                  <c:v>57.65</c:v>
                </c:pt>
                <c:pt idx="18">
                  <c:v>56.25</c:v>
                </c:pt>
                <c:pt idx="19">
                  <c:v>54.3</c:v>
                </c:pt>
                <c:pt idx="20">
                  <c:v>58.5</c:v>
                </c:pt>
                <c:pt idx="21">
                  <c:v>56.9</c:v>
                </c:pt>
                <c:pt idx="22">
                  <c:v>56.1</c:v>
                </c:pt>
                <c:pt idx="23">
                  <c:v>58.9</c:v>
                </c:pt>
                <c:pt idx="24">
                  <c:v>58.8</c:v>
                </c:pt>
                <c:pt idx="25">
                  <c:v>60.3</c:v>
                </c:pt>
                <c:pt idx="26">
                  <c:v>60.8</c:v>
                </c:pt>
                <c:pt idx="27">
                  <c:v>62.25</c:v>
                </c:pt>
                <c:pt idx="28">
                  <c:v>60.9</c:v>
                </c:pt>
                <c:pt idx="29">
                  <c:v>62.45</c:v>
                </c:pt>
                <c:pt idx="30">
                  <c:v>60.5</c:v>
                </c:pt>
                <c:pt idx="31">
                  <c:v>62</c:v>
                </c:pt>
                <c:pt idx="32">
                  <c:v>63.6</c:v>
                </c:pt>
                <c:pt idx="33">
                  <c:v>63.25</c:v>
                </c:pt>
                <c:pt idx="34">
                  <c:v>60.2</c:v>
                </c:pt>
                <c:pt idx="35">
                  <c:v>61.05</c:v>
                </c:pt>
                <c:pt idx="36">
                  <c:v>61.15</c:v>
                </c:pt>
                <c:pt idx="37">
                  <c:v>58.9</c:v>
                </c:pt>
                <c:pt idx="38">
                  <c:v>63</c:v>
                </c:pt>
                <c:pt idx="39">
                  <c:v>61.3</c:v>
                </c:pt>
                <c:pt idx="40">
                  <c:v>61.4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6B7-4C81-87A7-707C43753C91}"/>
            </c:ext>
          </c:extLst>
        </c:ser>
        <c:ser>
          <c:idx val="3"/>
          <c:order val="3"/>
          <c:tx>
            <c:strRef>
              <c:f>'3_Confianza_Empresarial'!$F$25</c:f>
              <c:strCache>
                <c:ptCount val="1"/>
                <c:pt idx="0">
                  <c:v>MEXICO</c:v>
                </c:pt>
              </c:strCache>
            </c:strRef>
          </c:tx>
          <c:spPr>
            <a:ln w="28440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'3_Confianza_Empresarial'!$B$26:$B$68</c:f>
              <c:numCache>
                <c:formatCode>mmm\-yy</c:formatCode>
                <c:ptCount val="43"/>
                <c:pt idx="0">
                  <c:v>44866</c:v>
                </c:pt>
                <c:pt idx="1">
                  <c:v>44896</c:v>
                </c:pt>
                <c:pt idx="2">
                  <c:v>44927</c:v>
                </c:pt>
                <c:pt idx="3">
                  <c:v>44958</c:v>
                </c:pt>
                <c:pt idx="4">
                  <c:v>44986</c:v>
                </c:pt>
                <c:pt idx="5">
                  <c:v>45017</c:v>
                </c:pt>
                <c:pt idx="6">
                  <c:v>45047</c:v>
                </c:pt>
                <c:pt idx="7">
                  <c:v>45078</c:v>
                </c:pt>
                <c:pt idx="8">
                  <c:v>45108</c:v>
                </c:pt>
                <c:pt idx="9">
                  <c:v>45139</c:v>
                </c:pt>
                <c:pt idx="10">
                  <c:v>45170</c:v>
                </c:pt>
                <c:pt idx="11">
                  <c:v>45200</c:v>
                </c:pt>
                <c:pt idx="12">
                  <c:v>45231</c:v>
                </c:pt>
                <c:pt idx="13">
                  <c:v>45261</c:v>
                </c:pt>
                <c:pt idx="14">
                  <c:v>45292</c:v>
                </c:pt>
                <c:pt idx="15">
                  <c:v>45323</c:v>
                </c:pt>
                <c:pt idx="16">
                  <c:v>45352</c:v>
                </c:pt>
                <c:pt idx="17">
                  <c:v>45383</c:v>
                </c:pt>
                <c:pt idx="18">
                  <c:v>45413</c:v>
                </c:pt>
                <c:pt idx="19">
                  <c:v>45444</c:v>
                </c:pt>
                <c:pt idx="20">
                  <c:v>45474</c:v>
                </c:pt>
                <c:pt idx="21">
                  <c:v>45505</c:v>
                </c:pt>
                <c:pt idx="22">
                  <c:v>45536</c:v>
                </c:pt>
                <c:pt idx="23">
                  <c:v>45566</c:v>
                </c:pt>
                <c:pt idx="24">
                  <c:v>45597</c:v>
                </c:pt>
                <c:pt idx="25">
                  <c:v>45627</c:v>
                </c:pt>
                <c:pt idx="26">
                  <c:v>45658</c:v>
                </c:pt>
                <c:pt idx="27">
                  <c:v>45689</c:v>
                </c:pt>
                <c:pt idx="28">
                  <c:v>45717</c:v>
                </c:pt>
                <c:pt idx="29">
                  <c:v>45748</c:v>
                </c:pt>
                <c:pt idx="30">
                  <c:v>45778</c:v>
                </c:pt>
                <c:pt idx="31">
                  <c:v>45809</c:v>
                </c:pt>
                <c:pt idx="32">
                  <c:v>45839</c:v>
                </c:pt>
                <c:pt idx="33">
                  <c:v>45870</c:v>
                </c:pt>
                <c:pt idx="34">
                  <c:v>45901</c:v>
                </c:pt>
                <c:pt idx="35">
                  <c:v>45931</c:v>
                </c:pt>
                <c:pt idx="36">
                  <c:v>45962</c:v>
                </c:pt>
                <c:pt idx="37">
                  <c:v>45992</c:v>
                </c:pt>
                <c:pt idx="38">
                  <c:v>46023</c:v>
                </c:pt>
                <c:pt idx="39">
                  <c:v>46054</c:v>
                </c:pt>
                <c:pt idx="40">
                  <c:v>46082</c:v>
                </c:pt>
                <c:pt idx="41">
                  <c:v>46113</c:v>
                </c:pt>
                <c:pt idx="42">
                  <c:v>46143</c:v>
                </c:pt>
              </c:numCache>
            </c:numRef>
          </c:cat>
          <c:val>
            <c:numRef>
              <c:f>'3_Confianza_Empresarial'!$F$26:$F$68</c:f>
              <c:numCache>
                <c:formatCode>0.00;[Red]\(0.00\);\-</c:formatCode>
                <c:ptCount val="43"/>
                <c:pt idx="0">
                  <c:v>49.603000000000002</c:v>
                </c:pt>
                <c:pt idx="1">
                  <c:v>47.402000000000001</c:v>
                </c:pt>
                <c:pt idx="2">
                  <c:v>48.55</c:v>
                </c:pt>
                <c:pt idx="3">
                  <c:v>51.774999999999999</c:v>
                </c:pt>
                <c:pt idx="4">
                  <c:v>53.610999999999997</c:v>
                </c:pt>
                <c:pt idx="5">
                  <c:v>54.776000000000003</c:v>
                </c:pt>
                <c:pt idx="6">
                  <c:v>55.68</c:v>
                </c:pt>
                <c:pt idx="7">
                  <c:v>54.954999999999998</c:v>
                </c:pt>
                <c:pt idx="8">
                  <c:v>56.536000000000001</c:v>
                </c:pt>
                <c:pt idx="9">
                  <c:v>56.436</c:v>
                </c:pt>
                <c:pt idx="10">
                  <c:v>56.360999999999997</c:v>
                </c:pt>
                <c:pt idx="11">
                  <c:v>55.448999999999998</c:v>
                </c:pt>
                <c:pt idx="12">
                  <c:v>56.048000000000002</c:v>
                </c:pt>
                <c:pt idx="13">
                  <c:v>56.167999999999999</c:v>
                </c:pt>
                <c:pt idx="14">
                  <c:v>55.970999999999997</c:v>
                </c:pt>
                <c:pt idx="15">
                  <c:v>54.975000000000001</c:v>
                </c:pt>
                <c:pt idx="16">
                  <c:v>54.756999999999998</c:v>
                </c:pt>
                <c:pt idx="17">
                  <c:v>54.957000000000001</c:v>
                </c:pt>
                <c:pt idx="18">
                  <c:v>54.636885820000003</c:v>
                </c:pt>
                <c:pt idx="19">
                  <c:v>53.149893380000002</c:v>
                </c:pt>
                <c:pt idx="20">
                  <c:v>53.492096029999999</c:v>
                </c:pt>
                <c:pt idx="21">
                  <c:v>52.740525730000002</c:v>
                </c:pt>
                <c:pt idx="22">
                  <c:v>50.985504560000003</c:v>
                </c:pt>
                <c:pt idx="23">
                  <c:v>51.906183200000001</c:v>
                </c:pt>
                <c:pt idx="24">
                  <c:v>51.484636350000002</c:v>
                </c:pt>
                <c:pt idx="25">
                  <c:v>51.896619829999999</c:v>
                </c:pt>
                <c:pt idx="26">
                  <c:v>51.374906780000003</c:v>
                </c:pt>
                <c:pt idx="27">
                  <c:v>50.117443190000003</c:v>
                </c:pt>
                <c:pt idx="28">
                  <c:v>49.337817370000003</c:v>
                </c:pt>
                <c:pt idx="29">
                  <c:v>48.689455410000001</c:v>
                </c:pt>
                <c:pt idx="30">
                  <c:v>48.722202770000003</c:v>
                </c:pt>
                <c:pt idx="31">
                  <c:v>48.623622089999998</c:v>
                </c:pt>
                <c:pt idx="32">
                  <c:v>48.968333459999997</c:v>
                </c:pt>
                <c:pt idx="33">
                  <c:v>49.302656720000002</c:v>
                </c:pt>
                <c:pt idx="34">
                  <c:v>49.319399060000002</c:v>
                </c:pt>
                <c:pt idx="35">
                  <c:v>48.512275770000002</c:v>
                </c:pt>
                <c:pt idx="36">
                  <c:v>48.303113629999999</c:v>
                </c:pt>
                <c:pt idx="37">
                  <c:v>48.148130289999997</c:v>
                </c:pt>
                <c:pt idx="38">
                  <c:v>48.004239869999999</c:v>
                </c:pt>
                <c:pt idx="39">
                  <c:v>48.796111430000003</c:v>
                </c:pt>
                <c:pt idx="40">
                  <c:v>48.442274099999999</c:v>
                </c:pt>
                <c:pt idx="41">
                  <c:v>48.304649779999998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6B7-4C81-87A7-707C43753C91}"/>
            </c:ext>
          </c:extLst>
        </c:ser>
        <c:ser>
          <c:idx val="4"/>
          <c:order val="4"/>
          <c:tx>
            <c:strRef>
              <c:f>'3_Confianza_Empresarial'!$G$25</c:f>
              <c:strCache>
                <c:ptCount val="1"/>
                <c:pt idx="0">
                  <c:v>PERU</c:v>
                </c:pt>
              </c:strCache>
            </c:strRef>
          </c:tx>
          <c:spPr>
            <a:ln w="28440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'3_Confianza_Empresarial'!$B$26:$B$68</c:f>
              <c:numCache>
                <c:formatCode>mmm\-yy</c:formatCode>
                <c:ptCount val="43"/>
                <c:pt idx="0">
                  <c:v>44866</c:v>
                </c:pt>
                <c:pt idx="1">
                  <c:v>44896</c:v>
                </c:pt>
                <c:pt idx="2">
                  <c:v>44927</c:v>
                </c:pt>
                <c:pt idx="3">
                  <c:v>44958</c:v>
                </c:pt>
                <c:pt idx="4">
                  <c:v>44986</c:v>
                </c:pt>
                <c:pt idx="5">
                  <c:v>45017</c:v>
                </c:pt>
                <c:pt idx="6">
                  <c:v>45047</c:v>
                </c:pt>
                <c:pt idx="7">
                  <c:v>45078</c:v>
                </c:pt>
                <c:pt idx="8">
                  <c:v>45108</c:v>
                </c:pt>
                <c:pt idx="9">
                  <c:v>45139</c:v>
                </c:pt>
                <c:pt idx="10">
                  <c:v>45170</c:v>
                </c:pt>
                <c:pt idx="11">
                  <c:v>45200</c:v>
                </c:pt>
                <c:pt idx="12">
                  <c:v>45231</c:v>
                </c:pt>
                <c:pt idx="13">
                  <c:v>45261</c:v>
                </c:pt>
                <c:pt idx="14">
                  <c:v>45292</c:v>
                </c:pt>
                <c:pt idx="15">
                  <c:v>45323</c:v>
                </c:pt>
                <c:pt idx="16">
                  <c:v>45352</c:v>
                </c:pt>
                <c:pt idx="17">
                  <c:v>45383</c:v>
                </c:pt>
                <c:pt idx="18">
                  <c:v>45413</c:v>
                </c:pt>
                <c:pt idx="19">
                  <c:v>45444</c:v>
                </c:pt>
                <c:pt idx="20">
                  <c:v>45474</c:v>
                </c:pt>
                <c:pt idx="21">
                  <c:v>45505</c:v>
                </c:pt>
                <c:pt idx="22">
                  <c:v>45536</c:v>
                </c:pt>
                <c:pt idx="23">
                  <c:v>45566</c:v>
                </c:pt>
                <c:pt idx="24">
                  <c:v>45597</c:v>
                </c:pt>
                <c:pt idx="25">
                  <c:v>45627</c:v>
                </c:pt>
                <c:pt idx="26">
                  <c:v>45658</c:v>
                </c:pt>
                <c:pt idx="27">
                  <c:v>45689</c:v>
                </c:pt>
                <c:pt idx="28">
                  <c:v>45717</c:v>
                </c:pt>
                <c:pt idx="29">
                  <c:v>45748</c:v>
                </c:pt>
                <c:pt idx="30">
                  <c:v>45778</c:v>
                </c:pt>
                <c:pt idx="31">
                  <c:v>45809</c:v>
                </c:pt>
                <c:pt idx="32">
                  <c:v>45839</c:v>
                </c:pt>
                <c:pt idx="33">
                  <c:v>45870</c:v>
                </c:pt>
                <c:pt idx="34">
                  <c:v>45901</c:v>
                </c:pt>
                <c:pt idx="35">
                  <c:v>45931</c:v>
                </c:pt>
                <c:pt idx="36">
                  <c:v>45962</c:v>
                </c:pt>
                <c:pt idx="37">
                  <c:v>45992</c:v>
                </c:pt>
                <c:pt idx="38">
                  <c:v>46023</c:v>
                </c:pt>
                <c:pt idx="39">
                  <c:v>46054</c:v>
                </c:pt>
                <c:pt idx="40">
                  <c:v>46082</c:v>
                </c:pt>
                <c:pt idx="41">
                  <c:v>46113</c:v>
                </c:pt>
                <c:pt idx="42">
                  <c:v>46143</c:v>
                </c:pt>
              </c:numCache>
            </c:numRef>
          </c:cat>
          <c:val>
            <c:numRef>
              <c:f>'3_Confianza_Empresarial'!$G$26:$G$68</c:f>
              <c:numCache>
                <c:formatCode>0.00;[Red]\(0.00\);\-</c:formatCode>
                <c:ptCount val="43"/>
                <c:pt idx="0">
                  <c:v>49.46</c:v>
                </c:pt>
                <c:pt idx="1">
                  <c:v>58.49</c:v>
                </c:pt>
                <c:pt idx="2">
                  <c:v>50.94</c:v>
                </c:pt>
                <c:pt idx="3">
                  <c:v>54.7</c:v>
                </c:pt>
                <c:pt idx="4">
                  <c:v>54.53</c:v>
                </c:pt>
                <c:pt idx="5">
                  <c:v>54.28</c:v>
                </c:pt>
                <c:pt idx="6">
                  <c:v>57.98</c:v>
                </c:pt>
                <c:pt idx="7">
                  <c:v>54.47</c:v>
                </c:pt>
                <c:pt idx="8">
                  <c:v>54.28</c:v>
                </c:pt>
                <c:pt idx="9">
                  <c:v>56.25</c:v>
                </c:pt>
                <c:pt idx="10">
                  <c:v>53.15</c:v>
                </c:pt>
                <c:pt idx="11">
                  <c:v>50.6</c:v>
                </c:pt>
                <c:pt idx="12">
                  <c:v>51.36</c:v>
                </c:pt>
                <c:pt idx="13">
                  <c:v>56.63</c:v>
                </c:pt>
                <c:pt idx="14">
                  <c:v>55.38</c:v>
                </c:pt>
                <c:pt idx="15">
                  <c:v>60.83</c:v>
                </c:pt>
                <c:pt idx="16">
                  <c:v>60.42</c:v>
                </c:pt>
                <c:pt idx="17">
                  <c:v>58.65</c:v>
                </c:pt>
                <c:pt idx="18">
                  <c:v>60.2</c:v>
                </c:pt>
                <c:pt idx="19">
                  <c:v>59.23</c:v>
                </c:pt>
                <c:pt idx="20">
                  <c:v>60.12</c:v>
                </c:pt>
                <c:pt idx="21">
                  <c:v>60.73</c:v>
                </c:pt>
                <c:pt idx="22">
                  <c:v>60.04</c:v>
                </c:pt>
                <c:pt idx="23">
                  <c:v>62.15</c:v>
                </c:pt>
                <c:pt idx="24">
                  <c:v>60.48</c:v>
                </c:pt>
                <c:pt idx="25">
                  <c:v>58.76</c:v>
                </c:pt>
                <c:pt idx="26">
                  <c:v>64.53</c:v>
                </c:pt>
                <c:pt idx="27">
                  <c:v>61.28</c:v>
                </c:pt>
                <c:pt idx="28">
                  <c:v>61.73</c:v>
                </c:pt>
                <c:pt idx="29">
                  <c:v>62.59</c:v>
                </c:pt>
                <c:pt idx="30">
                  <c:v>62.23</c:v>
                </c:pt>
                <c:pt idx="31">
                  <c:v>60.33</c:v>
                </c:pt>
                <c:pt idx="32">
                  <c:v>61.62</c:v>
                </c:pt>
                <c:pt idx="33">
                  <c:v>61.95</c:v>
                </c:pt>
                <c:pt idx="34">
                  <c:v>64.510000000000005</c:v>
                </c:pt>
                <c:pt idx="35">
                  <c:v>65.73</c:v>
                </c:pt>
                <c:pt idx="36">
                  <c:v>66.150000000000006</c:v>
                </c:pt>
                <c:pt idx="37">
                  <c:v>64.56</c:v>
                </c:pt>
                <c:pt idx="38">
                  <c:v>67.56</c:v>
                </c:pt>
                <c:pt idx="39">
                  <c:v>62.01</c:v>
                </c:pt>
                <c:pt idx="40">
                  <c:v>62.12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6B7-4C81-87A7-707C43753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444168"/>
        <c:axId val="21655664"/>
      </c:lineChart>
      <c:dateAx>
        <c:axId val="4744416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21655664"/>
        <c:crosses val="autoZero"/>
        <c:auto val="1"/>
        <c:lblOffset val="100"/>
        <c:baseTimeUnit val="months"/>
      </c:dateAx>
      <c:valAx>
        <c:axId val="21655664"/>
        <c:scaling>
          <c:orientation val="minMax"/>
          <c:max val="72"/>
          <c:min val="40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CO"/>
                  <a:t>Índice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\(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47444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4"/>
      </a:solidFill>
      <a:round/>
    </a:ln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/>
            </a:pPr>
            <a:r>
              <a:rPr lang="es-CO" sz="1800"/>
              <a:t>Índice Confianza Consumidor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'4_Confianza_Consumidor'!$C$26</c:f>
              <c:strCache>
                <c:ptCount val="1"/>
                <c:pt idx="0">
                  <c:v>BRASIL</c:v>
                </c:pt>
              </c:strCache>
            </c:strRef>
          </c:tx>
          <c:spPr>
            <a:ln w="28440">
              <a:solidFill>
                <a:srgbClr val="51C5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'4_Confianza_Consumidor'!$B$27:$B$88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'4_Confianza_Consumidor'!$C$27:$C$88</c:f>
              <c:numCache>
                <c:formatCode>0.00;[Red]\(0.00\);\-</c:formatCode>
                <c:ptCount val="62"/>
                <c:pt idx="0">
                  <c:v>58.115000000000002</c:v>
                </c:pt>
                <c:pt idx="1">
                  <c:v>56.45</c:v>
                </c:pt>
                <c:pt idx="2">
                  <c:v>52.475000000000001</c:v>
                </c:pt>
                <c:pt idx="3">
                  <c:v>52.95</c:v>
                </c:pt>
                <c:pt idx="4">
                  <c:v>53.66</c:v>
                </c:pt>
                <c:pt idx="5">
                  <c:v>55.49</c:v>
                </c:pt>
                <c:pt idx="6">
                  <c:v>55.994999999999997</c:v>
                </c:pt>
                <c:pt idx="7">
                  <c:v>57.33</c:v>
                </c:pt>
                <c:pt idx="8">
                  <c:v>54.685000000000002</c:v>
                </c:pt>
                <c:pt idx="9">
                  <c:v>54.674999999999997</c:v>
                </c:pt>
                <c:pt idx="10">
                  <c:v>56</c:v>
                </c:pt>
                <c:pt idx="11">
                  <c:v>54.174999999999997</c:v>
                </c:pt>
                <c:pt idx="12">
                  <c:v>52.024999999999999</c:v>
                </c:pt>
                <c:pt idx="13">
                  <c:v>52.56</c:v>
                </c:pt>
                <c:pt idx="14">
                  <c:v>52.174999999999997</c:v>
                </c:pt>
                <c:pt idx="15">
                  <c:v>52.935000000000002</c:v>
                </c:pt>
                <c:pt idx="16">
                  <c:v>51.8</c:v>
                </c:pt>
                <c:pt idx="17">
                  <c:v>52.79</c:v>
                </c:pt>
                <c:pt idx="18">
                  <c:v>53.38</c:v>
                </c:pt>
                <c:pt idx="19">
                  <c:v>55.73</c:v>
                </c:pt>
                <c:pt idx="20">
                  <c:v>57.115000000000002</c:v>
                </c:pt>
                <c:pt idx="21">
                  <c:v>58.395000000000003</c:v>
                </c:pt>
                <c:pt idx="22">
                  <c:v>61.42</c:v>
                </c:pt>
                <c:pt idx="23">
                  <c:v>62.69</c:v>
                </c:pt>
                <c:pt idx="24">
                  <c:v>64.39</c:v>
                </c:pt>
                <c:pt idx="25">
                  <c:v>63.71</c:v>
                </c:pt>
                <c:pt idx="26">
                  <c:v>62.55</c:v>
                </c:pt>
                <c:pt idx="27">
                  <c:v>61.11</c:v>
                </c:pt>
                <c:pt idx="28">
                  <c:v>62.634999999999998</c:v>
                </c:pt>
                <c:pt idx="29">
                  <c:v>62.23</c:v>
                </c:pt>
                <c:pt idx="30">
                  <c:v>65.510000000000005</c:v>
                </c:pt>
                <c:pt idx="31">
                  <c:v>66.319999999999993</c:v>
                </c:pt>
                <c:pt idx="32">
                  <c:v>66.375</c:v>
                </c:pt>
                <c:pt idx="33">
                  <c:v>64.87</c:v>
                </c:pt>
                <c:pt idx="34">
                  <c:v>66.73</c:v>
                </c:pt>
                <c:pt idx="35">
                  <c:v>66.625</c:v>
                </c:pt>
                <c:pt idx="36">
                  <c:v>69.11</c:v>
                </c:pt>
                <c:pt idx="37">
                  <c:v>66.260000000000005</c:v>
                </c:pt>
                <c:pt idx="38">
                  <c:v>64.795000000000002</c:v>
                </c:pt>
                <c:pt idx="39">
                  <c:v>63.23</c:v>
                </c:pt>
                <c:pt idx="40">
                  <c:v>63.524999999999999</c:v>
                </c:pt>
                <c:pt idx="41">
                  <c:v>63.89</c:v>
                </c:pt>
                <c:pt idx="42">
                  <c:v>63.634999999999998</c:v>
                </c:pt>
                <c:pt idx="43">
                  <c:v>61.615000000000002</c:v>
                </c:pt>
                <c:pt idx="44">
                  <c:v>60.484999999999999</c:v>
                </c:pt>
                <c:pt idx="45">
                  <c:v>61.965000000000003</c:v>
                </c:pt>
                <c:pt idx="46">
                  <c:v>62.81</c:v>
                </c:pt>
                <c:pt idx="47">
                  <c:v>61.755000000000003</c:v>
                </c:pt>
                <c:pt idx="48">
                  <c:v>60.24</c:v>
                </c:pt>
                <c:pt idx="49">
                  <c:v>57.604999999999997</c:v>
                </c:pt>
                <c:pt idx="50">
                  <c:v>55.505000000000003</c:v>
                </c:pt>
                <c:pt idx="51">
                  <c:v>55.865000000000002</c:v>
                </c:pt>
                <c:pt idx="52">
                  <c:v>56.445</c:v>
                </c:pt>
                <c:pt idx="53">
                  <c:v>54.47</c:v>
                </c:pt>
                <c:pt idx="54">
                  <c:v>55.94</c:v>
                </c:pt>
                <c:pt idx="55">
                  <c:v>55.1</c:v>
                </c:pt>
                <c:pt idx="56">
                  <c:v>56.814999999999998</c:v>
                </c:pt>
                <c:pt idx="57">
                  <c:v>59.325000000000003</c:v>
                </c:pt>
                <c:pt idx="58">
                  <c:v>62.23</c:v>
                </c:pt>
                <c:pt idx="59">
                  <c:v>63.695</c:v>
                </c:pt>
                <c:pt idx="60">
                  <c:v>63.695</c:v>
                </c:pt>
                <c:pt idx="61">
                  <c:v>62.935000000000002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0B-45EF-A8FF-CEF4A8C9F705}"/>
            </c:ext>
          </c:extLst>
        </c:ser>
        <c:ser>
          <c:idx val="1"/>
          <c:order val="1"/>
          <c:tx>
            <c:strRef>
              <c:f>'4_Confianza_Consumidor'!$D$26</c:f>
              <c:strCache>
                <c:ptCount val="1"/>
                <c:pt idx="0">
                  <c:v>CHILE</c:v>
                </c:pt>
              </c:strCache>
            </c:strRef>
          </c:tx>
          <c:spPr>
            <a:ln w="28440">
              <a:solidFill>
                <a:schemeClr val="accent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'4_Confianza_Consumidor'!$B$27:$B$88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'4_Confianza_Consumidor'!$D$27:$D$88</c:f>
              <c:numCache>
                <c:formatCode>0.00;[Red]\(0.00\);\-</c:formatCode>
                <c:ptCount val="62"/>
                <c:pt idx="0">
                  <c:v>38.470100000000002</c:v>
                </c:pt>
                <c:pt idx="1">
                  <c:v>42.399900000000002</c:v>
                </c:pt>
                <c:pt idx="2">
                  <c:v>32.590000000000003</c:v>
                </c:pt>
                <c:pt idx="3">
                  <c:v>39.702199999999998</c:v>
                </c:pt>
                <c:pt idx="4">
                  <c:v>40.161999999999999</c:v>
                </c:pt>
                <c:pt idx="5">
                  <c:v>41.308399999999999</c:v>
                </c:pt>
                <c:pt idx="6">
                  <c:v>49.105699999999999</c:v>
                </c:pt>
                <c:pt idx="7">
                  <c:v>47.091799999999999</c:v>
                </c:pt>
                <c:pt idx="8">
                  <c:v>45.218899999999998</c:v>
                </c:pt>
                <c:pt idx="9">
                  <c:v>40.288400000000003</c:v>
                </c:pt>
                <c:pt idx="10">
                  <c:v>45.354500000000002</c:v>
                </c:pt>
                <c:pt idx="11">
                  <c:v>46.630499999999998</c:v>
                </c:pt>
                <c:pt idx="12">
                  <c:v>43.707799999999999</c:v>
                </c:pt>
                <c:pt idx="13">
                  <c:v>39.980600000000003</c:v>
                </c:pt>
                <c:pt idx="14">
                  <c:v>41.315600000000003</c:v>
                </c:pt>
                <c:pt idx="15">
                  <c:v>39.501300000000001</c:v>
                </c:pt>
                <c:pt idx="16">
                  <c:v>39.336399999999998</c:v>
                </c:pt>
                <c:pt idx="17">
                  <c:v>35.517899999999997</c:v>
                </c:pt>
                <c:pt idx="18">
                  <c:v>38.860199999999999</c:v>
                </c:pt>
                <c:pt idx="19">
                  <c:v>36.990099999999998</c:v>
                </c:pt>
                <c:pt idx="20">
                  <c:v>38.1999</c:v>
                </c:pt>
                <c:pt idx="21">
                  <c:v>36.6492</c:v>
                </c:pt>
                <c:pt idx="22">
                  <c:v>39.161000000000001</c:v>
                </c:pt>
                <c:pt idx="23">
                  <c:v>38.892200000000003</c:v>
                </c:pt>
                <c:pt idx="24">
                  <c:v>36.867699999999999</c:v>
                </c:pt>
                <c:pt idx="25">
                  <c:v>41.5</c:v>
                </c:pt>
                <c:pt idx="26">
                  <c:v>39.292869253526398</c:v>
                </c:pt>
                <c:pt idx="27">
                  <c:v>38.868400000000001</c:v>
                </c:pt>
                <c:pt idx="28">
                  <c:v>39.9</c:v>
                </c:pt>
                <c:pt idx="29">
                  <c:v>41.009799999999998</c:v>
                </c:pt>
                <c:pt idx="30">
                  <c:v>39.521299999999997</c:v>
                </c:pt>
                <c:pt idx="31">
                  <c:v>41.429099999999998</c:v>
                </c:pt>
                <c:pt idx="32">
                  <c:v>42.527799999999999</c:v>
                </c:pt>
                <c:pt idx="33">
                  <c:v>43.039700000000003</c:v>
                </c:pt>
                <c:pt idx="34">
                  <c:v>39.9054</c:v>
                </c:pt>
                <c:pt idx="35">
                  <c:v>43.808599999999998</c:v>
                </c:pt>
                <c:pt idx="36">
                  <c:v>43.155000000000001</c:v>
                </c:pt>
                <c:pt idx="37">
                  <c:v>42.218400000000003</c:v>
                </c:pt>
                <c:pt idx="38">
                  <c:v>42.776400000000002</c:v>
                </c:pt>
                <c:pt idx="39">
                  <c:v>39.6</c:v>
                </c:pt>
                <c:pt idx="40">
                  <c:v>42.690199999999997</c:v>
                </c:pt>
                <c:pt idx="41">
                  <c:v>40.7986</c:v>
                </c:pt>
                <c:pt idx="42">
                  <c:v>41.026400000000002</c:v>
                </c:pt>
                <c:pt idx="43">
                  <c:v>40.965299999999999</c:v>
                </c:pt>
                <c:pt idx="44">
                  <c:v>43.380899999999997</c:v>
                </c:pt>
                <c:pt idx="45">
                  <c:v>41.878726913134599</c:v>
                </c:pt>
                <c:pt idx="46">
                  <c:v>41.888100000000001</c:v>
                </c:pt>
                <c:pt idx="47">
                  <c:v>43.283700000000003</c:v>
                </c:pt>
                <c:pt idx="48">
                  <c:v>45.350299999999997</c:v>
                </c:pt>
                <c:pt idx="49">
                  <c:v>40.783999999999999</c:v>
                </c:pt>
                <c:pt idx="50">
                  <c:v>43.116700000000002</c:v>
                </c:pt>
                <c:pt idx="51">
                  <c:v>41.7363</c:v>
                </c:pt>
                <c:pt idx="52">
                  <c:v>42.726999999999997</c:v>
                </c:pt>
                <c:pt idx="53">
                  <c:v>41.603700000000003</c:v>
                </c:pt>
                <c:pt idx="54">
                  <c:v>44.325800000000001</c:v>
                </c:pt>
                <c:pt idx="55">
                  <c:v>44</c:v>
                </c:pt>
                <c:pt idx="56">
                  <c:v>42.976399999999998</c:v>
                </c:pt>
                <c:pt idx="57">
                  <c:v>43.694200000000002</c:v>
                </c:pt>
                <c:pt idx="58">
                  <c:v>49.2</c:v>
                </c:pt>
                <c:pt idx="59">
                  <c:v>49.386400000000002</c:v>
                </c:pt>
                <c:pt idx="60">
                  <c:v>50.267499999999998</c:v>
                </c:pt>
                <c:pt idx="61">
                  <c:v>48.823300000000003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0B-45EF-A8FF-CEF4A8C9F705}"/>
            </c:ext>
          </c:extLst>
        </c:ser>
        <c:ser>
          <c:idx val="2"/>
          <c:order val="2"/>
          <c:tx>
            <c:strRef>
              <c:f>'4_Confianza_Consumidor'!$E$26</c:f>
              <c:strCache>
                <c:ptCount val="1"/>
                <c:pt idx="0">
                  <c:v>COLOMBIA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'4_Confianza_Consumidor'!$B$27:$B$88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'4_Confianza_Consumidor'!$E$27:$E$88</c:f>
              <c:numCache>
                <c:formatCode>0.00;[Red]\(0.00\);\-</c:formatCode>
                <c:ptCount val="62"/>
                <c:pt idx="0">
                  <c:v>42.7</c:v>
                </c:pt>
                <c:pt idx="1">
                  <c:v>44.3</c:v>
                </c:pt>
                <c:pt idx="2">
                  <c:v>32.9</c:v>
                </c:pt>
                <c:pt idx="3">
                  <c:v>32.85</c:v>
                </c:pt>
                <c:pt idx="4">
                  <c:v>38.85</c:v>
                </c:pt>
                <c:pt idx="5">
                  <c:v>46.25</c:v>
                </c:pt>
                <c:pt idx="6">
                  <c:v>45.9</c:v>
                </c:pt>
                <c:pt idx="7">
                  <c:v>48.5</c:v>
                </c:pt>
                <c:pt idx="8">
                  <c:v>49.35</c:v>
                </c:pt>
                <c:pt idx="9">
                  <c:v>49.3</c:v>
                </c:pt>
                <c:pt idx="10">
                  <c:v>46.5</c:v>
                </c:pt>
                <c:pt idx="11">
                  <c:v>43.25</c:v>
                </c:pt>
                <c:pt idx="12">
                  <c:v>41.25</c:v>
                </c:pt>
                <c:pt idx="13">
                  <c:v>41.1</c:v>
                </c:pt>
                <c:pt idx="14">
                  <c:v>41.25</c:v>
                </c:pt>
                <c:pt idx="15">
                  <c:v>42.65</c:v>
                </c:pt>
                <c:pt idx="16">
                  <c:v>51.45</c:v>
                </c:pt>
                <c:pt idx="17">
                  <c:v>44.8</c:v>
                </c:pt>
                <c:pt idx="18">
                  <c:v>48.8</c:v>
                </c:pt>
                <c:pt idx="19">
                  <c:v>44.25</c:v>
                </c:pt>
                <c:pt idx="20">
                  <c:v>40.25</c:v>
                </c:pt>
                <c:pt idx="21">
                  <c:v>37.6</c:v>
                </c:pt>
                <c:pt idx="22">
                  <c:v>38.85</c:v>
                </c:pt>
                <c:pt idx="23">
                  <c:v>35.700000000000003</c:v>
                </c:pt>
                <c:pt idx="24">
                  <c:v>36.1</c:v>
                </c:pt>
                <c:pt idx="25">
                  <c:v>35.75</c:v>
                </c:pt>
                <c:pt idx="26">
                  <c:v>35.6</c:v>
                </c:pt>
                <c:pt idx="27">
                  <c:v>38.6</c:v>
                </c:pt>
                <c:pt idx="28">
                  <c:v>42.95</c:v>
                </c:pt>
                <c:pt idx="29">
                  <c:v>41.3</c:v>
                </c:pt>
                <c:pt idx="30">
                  <c:v>40.6</c:v>
                </c:pt>
                <c:pt idx="31">
                  <c:v>41.05</c:v>
                </c:pt>
                <c:pt idx="32">
                  <c:v>43</c:v>
                </c:pt>
                <c:pt idx="33">
                  <c:v>39.549999999999997</c:v>
                </c:pt>
                <c:pt idx="34">
                  <c:v>41.35</c:v>
                </c:pt>
                <c:pt idx="35">
                  <c:v>46.05</c:v>
                </c:pt>
                <c:pt idx="36">
                  <c:v>45.3</c:v>
                </c:pt>
                <c:pt idx="37">
                  <c:v>43.5</c:v>
                </c:pt>
                <c:pt idx="38">
                  <c:v>44.3</c:v>
                </c:pt>
                <c:pt idx="39">
                  <c:v>42.95</c:v>
                </c:pt>
                <c:pt idx="40">
                  <c:v>43.65</c:v>
                </c:pt>
                <c:pt idx="41">
                  <c:v>45.5</c:v>
                </c:pt>
                <c:pt idx="42">
                  <c:v>42.35</c:v>
                </c:pt>
                <c:pt idx="43">
                  <c:v>42</c:v>
                </c:pt>
                <c:pt idx="44">
                  <c:v>48.15</c:v>
                </c:pt>
                <c:pt idx="45">
                  <c:v>47.15</c:v>
                </c:pt>
                <c:pt idx="46">
                  <c:v>48.3</c:v>
                </c:pt>
                <c:pt idx="47">
                  <c:v>49.45</c:v>
                </c:pt>
                <c:pt idx="48">
                  <c:v>44</c:v>
                </c:pt>
                <c:pt idx="49">
                  <c:v>46.45</c:v>
                </c:pt>
                <c:pt idx="50">
                  <c:v>45.7</c:v>
                </c:pt>
                <c:pt idx="51">
                  <c:v>48.1</c:v>
                </c:pt>
                <c:pt idx="52">
                  <c:v>51.1</c:v>
                </c:pt>
                <c:pt idx="53">
                  <c:v>52.65</c:v>
                </c:pt>
                <c:pt idx="54">
                  <c:v>48.8</c:v>
                </c:pt>
                <c:pt idx="55">
                  <c:v>50.8</c:v>
                </c:pt>
                <c:pt idx="56">
                  <c:v>56.8</c:v>
                </c:pt>
                <c:pt idx="57">
                  <c:v>58.5</c:v>
                </c:pt>
                <c:pt idx="58">
                  <c:v>59.95</c:v>
                </c:pt>
                <c:pt idx="59">
                  <c:v>59.1</c:v>
                </c:pt>
                <c:pt idx="60">
                  <c:v>59.15</c:v>
                </c:pt>
                <c:pt idx="61">
                  <c:v>59.65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E0B-45EF-A8FF-CEF4A8C9F705}"/>
            </c:ext>
          </c:extLst>
        </c:ser>
        <c:ser>
          <c:idx val="3"/>
          <c:order val="3"/>
          <c:tx>
            <c:strRef>
              <c:f>'4_Confianza_Consumidor'!$F$26</c:f>
              <c:strCache>
                <c:ptCount val="1"/>
                <c:pt idx="0">
                  <c:v>MEXICO</c:v>
                </c:pt>
              </c:strCache>
            </c:strRef>
          </c:tx>
          <c:spPr>
            <a:ln w="28440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'4_Confianza_Consumidor'!$B$27:$B$88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'4_Confianza_Consumidor'!$F$27:$F$88</c:f>
              <c:numCache>
                <c:formatCode>0.00;[Red]\(0.00\);\-</c:formatCode>
                <c:ptCount val="62"/>
                <c:pt idx="0">
                  <c:v>38.974256791400002</c:v>
                </c:pt>
                <c:pt idx="1">
                  <c:v>40.734070382100001</c:v>
                </c:pt>
                <c:pt idx="2">
                  <c:v>42.238554823800001</c:v>
                </c:pt>
                <c:pt idx="3">
                  <c:v>42.637518868100003</c:v>
                </c:pt>
                <c:pt idx="4">
                  <c:v>43.910725626800001</c:v>
                </c:pt>
                <c:pt idx="5">
                  <c:v>44.240729468300003</c:v>
                </c:pt>
                <c:pt idx="6">
                  <c:v>42.961410868500003</c:v>
                </c:pt>
                <c:pt idx="7">
                  <c:v>43.6871000529</c:v>
                </c:pt>
                <c:pt idx="8">
                  <c:v>43.8531835876</c:v>
                </c:pt>
                <c:pt idx="9">
                  <c:v>46.199807096299999</c:v>
                </c:pt>
                <c:pt idx="10">
                  <c:v>44.396749491199998</c:v>
                </c:pt>
                <c:pt idx="11">
                  <c:v>43.094636534800003</c:v>
                </c:pt>
                <c:pt idx="12">
                  <c:v>43.2078244928</c:v>
                </c:pt>
                <c:pt idx="13">
                  <c:v>43.647073091700001</c:v>
                </c:pt>
                <c:pt idx="14">
                  <c:v>44.029084395300004</c:v>
                </c:pt>
                <c:pt idx="15">
                  <c:v>44.022414371000004</c:v>
                </c:pt>
                <c:pt idx="16">
                  <c:v>42.758910086900002</c:v>
                </c:pt>
                <c:pt idx="17">
                  <c:v>41.262309792300002</c:v>
                </c:pt>
                <c:pt idx="18">
                  <c:v>40.7810241241</c:v>
                </c:pt>
                <c:pt idx="19">
                  <c:v>41.131590845200002</c:v>
                </c:pt>
                <c:pt idx="20">
                  <c:v>41.357728617699998</c:v>
                </c:pt>
                <c:pt idx="21">
                  <c:v>41.9593398763</c:v>
                </c:pt>
                <c:pt idx="22">
                  <c:v>42.842864296400002</c:v>
                </c:pt>
                <c:pt idx="23">
                  <c:v>44.774005908793619</c:v>
                </c:pt>
                <c:pt idx="24">
                  <c:v>44.648579360698086</c:v>
                </c:pt>
                <c:pt idx="25">
                  <c:v>44.497504601820523</c:v>
                </c:pt>
                <c:pt idx="26">
                  <c:v>44.604057252019366</c:v>
                </c:pt>
                <c:pt idx="27">
                  <c:v>44.67242033426259</c:v>
                </c:pt>
                <c:pt idx="28">
                  <c:v>45.900081964232591</c:v>
                </c:pt>
                <c:pt idx="29">
                  <c:v>46.382665573226191</c:v>
                </c:pt>
                <c:pt idx="30">
                  <c:v>46.082397318317241</c:v>
                </c:pt>
                <c:pt idx="31">
                  <c:v>46.378813796553494</c:v>
                </c:pt>
                <c:pt idx="32">
                  <c:v>45.669149771776041</c:v>
                </c:pt>
                <c:pt idx="33">
                  <c:v>46.899020937591459</c:v>
                </c:pt>
                <c:pt idx="34">
                  <c:v>47.18588914399389</c:v>
                </c:pt>
                <c:pt idx="35">
                  <c:v>47.571614440638328</c:v>
                </c:pt>
                <c:pt idx="36">
                  <c:v>47.125446530713567</c:v>
                </c:pt>
                <c:pt idx="37">
                  <c:v>47.377012181659858</c:v>
                </c:pt>
                <c:pt idx="38">
                  <c:v>47.734665663569878</c:v>
                </c:pt>
                <c:pt idx="39">
                  <c:v>46.695694705174034</c:v>
                </c:pt>
                <c:pt idx="40">
                  <c:v>48.053007238749601</c:v>
                </c:pt>
                <c:pt idx="41">
                  <c:v>46.966746692724165</c:v>
                </c:pt>
                <c:pt idx="42">
                  <c:v>46.993258614232275</c:v>
                </c:pt>
                <c:pt idx="43">
                  <c:v>46.56533712615807</c:v>
                </c:pt>
                <c:pt idx="44">
                  <c:v>48.897877633122164</c:v>
                </c:pt>
                <c:pt idx="45">
                  <c:v>47.442950378911924</c:v>
                </c:pt>
                <c:pt idx="46">
                  <c:v>47.270034347409236</c:v>
                </c:pt>
                <c:pt idx="47">
                  <c:v>47.149656125925851</c:v>
                </c:pt>
                <c:pt idx="48">
                  <c:v>46.488366486732978</c:v>
                </c:pt>
                <c:pt idx="49">
                  <c:v>46.090078149416264</c:v>
                </c:pt>
                <c:pt idx="50">
                  <c:v>45.454235606749975</c:v>
                </c:pt>
                <c:pt idx="51">
                  <c:v>46.497801253238435</c:v>
                </c:pt>
                <c:pt idx="52">
                  <c:v>45.714253218372768</c:v>
                </c:pt>
                <c:pt idx="53">
                  <c:v>45.766388407840239</c:v>
                </c:pt>
                <c:pt idx="54">
                  <c:v>46.455201742501551</c:v>
                </c:pt>
                <c:pt idx="55">
                  <c:v>46.068591028255923</c:v>
                </c:pt>
                <c:pt idx="56">
                  <c:v>45.689482002517508</c:v>
                </c:pt>
                <c:pt idx="57">
                  <c:v>43.957277352161029</c:v>
                </c:pt>
                <c:pt idx="58">
                  <c:v>44.77373036958096</c:v>
                </c:pt>
                <c:pt idx="59">
                  <c:v>44.337782220354065</c:v>
                </c:pt>
                <c:pt idx="60">
                  <c:v>44.522262147167922</c:v>
                </c:pt>
                <c:pt idx="61">
                  <c:v>44.09991247589862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E0B-45EF-A8FF-CEF4A8C9F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770431"/>
        <c:axId val="22951062"/>
      </c:lineChart>
      <c:dateAx>
        <c:axId val="92770431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22951062"/>
        <c:crosses val="autoZero"/>
        <c:auto val="1"/>
        <c:lblOffset val="100"/>
        <c:baseTimeUnit val="months"/>
      </c:dateAx>
      <c:valAx>
        <c:axId val="22951062"/>
        <c:scaling>
          <c:orientation val="minMax"/>
          <c:min val="30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CO"/>
                  <a:t>Índice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\(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927704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4"/>
      </a:solidFill>
      <a:round/>
    </a:ln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/>
            </a:pPr>
            <a:r>
              <a:rPr lang="es-CO" sz="1800"/>
              <a:t>Inflación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'5_Inflacion'!$C$26</c:f>
              <c:strCache>
                <c:ptCount val="1"/>
                <c:pt idx="0">
                  <c:v>BRASIL</c:v>
                </c:pt>
              </c:strCache>
            </c:strRef>
          </c:tx>
          <c:spPr>
            <a:ln w="28440">
              <a:solidFill>
                <a:srgbClr val="51C5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'5_Inflacion'!$B$27:$B$88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'5_Inflacion'!$C$27:$C$88</c:f>
              <c:numCache>
                <c:formatCode>0.00%;[Red]\(0.00%\);\-</c:formatCode>
                <c:ptCount val="62"/>
                <c:pt idx="0">
                  <c:v>5.1952805482628803E-2</c:v>
                </c:pt>
                <c:pt idx="1">
                  <c:v>6.0993271283718897E-2</c:v>
                </c:pt>
                <c:pt idx="2">
                  <c:v>6.7591885269032898E-2</c:v>
                </c:pt>
                <c:pt idx="3">
                  <c:v>8.0559022201129704E-2</c:v>
                </c:pt>
                <c:pt idx="4">
                  <c:v>8.3468965707955298E-2</c:v>
                </c:pt>
                <c:pt idx="5">
                  <c:v>8.9946460520876598E-2</c:v>
                </c:pt>
                <c:pt idx="6">
                  <c:v>9.6796682688954402E-2</c:v>
                </c:pt>
                <c:pt idx="7">
                  <c:v>0.102463756168667</c:v>
                </c:pt>
                <c:pt idx="8">
                  <c:v>0.106726703470926</c:v>
                </c:pt>
                <c:pt idx="9">
                  <c:v>0.10738488170671</c:v>
                </c:pt>
                <c:pt idx="10">
                  <c:v>0.10061054893257899</c:v>
                </c:pt>
                <c:pt idx="11">
                  <c:v>0.103794359996823</c:v>
                </c:pt>
                <c:pt idx="12">
                  <c:v>0.105435934000388</c:v>
                </c:pt>
                <c:pt idx="13">
                  <c:v>0.11299315974556</c:v>
                </c:pt>
                <c:pt idx="14">
                  <c:v>0.121314811323759</c:v>
                </c:pt>
                <c:pt idx="15">
                  <c:v>0.11731130708814901</c:v>
                </c:pt>
                <c:pt idx="16">
                  <c:v>0.11886729617590699</c:v>
                </c:pt>
                <c:pt idx="17">
                  <c:v>0.100692351982875</c:v>
                </c:pt>
                <c:pt idx="18">
                  <c:v>8.7270605250061403E-2</c:v>
                </c:pt>
                <c:pt idx="19">
                  <c:v>7.1685963320320595E-2</c:v>
                </c:pt>
                <c:pt idx="20">
                  <c:v>6.4700158522380799E-2</c:v>
                </c:pt>
                <c:pt idx="21">
                  <c:v>5.9004882785856902E-2</c:v>
                </c:pt>
                <c:pt idx="22">
                  <c:v>5.7848419596077602E-2</c:v>
                </c:pt>
                <c:pt idx="23">
                  <c:v>5.7743202924146302E-2</c:v>
                </c:pt>
                <c:pt idx="24">
                  <c:v>5.5963019333441298E-2</c:v>
                </c:pt>
                <c:pt idx="25">
                  <c:v>4.6506944273478901E-2</c:v>
                </c:pt>
                <c:pt idx="26">
                  <c:v>4.1847057820648202E-2</c:v>
                </c:pt>
                <c:pt idx="27">
                  <c:v>3.9358321940515403E-2</c:v>
                </c:pt>
                <c:pt idx="28">
                  <c:v>3.1615014684576198E-2</c:v>
                </c:pt>
                <c:pt idx="29">
                  <c:v>3.9924438886627098E-2</c:v>
                </c:pt>
                <c:pt idx="30">
                  <c:v>4.6082160875216903E-2</c:v>
                </c:pt>
                <c:pt idx="31">
                  <c:v>5.1852346297756299E-2</c:v>
                </c:pt>
                <c:pt idx="32">
                  <c:v>4.8192456435899297E-2</c:v>
                </c:pt>
                <c:pt idx="33">
                  <c:v>4.6835370295706703E-2</c:v>
                </c:pt>
                <c:pt idx="34">
                  <c:v>4.6211139305667899E-2</c:v>
                </c:pt>
                <c:pt idx="35">
                  <c:v>4.5066374306924402E-2</c:v>
                </c:pt>
                <c:pt idx="36">
                  <c:v>4.49627382126856E-2</c:v>
                </c:pt>
                <c:pt idx="37">
                  <c:v>3.9255961268817002E-2</c:v>
                </c:pt>
                <c:pt idx="38">
                  <c:v>3.6880164915653199E-2</c:v>
                </c:pt>
                <c:pt idx="39">
                  <c:v>3.9259516785658199E-2</c:v>
                </c:pt>
                <c:pt idx="40">
                  <c:v>4.2275782396825799E-2</c:v>
                </c:pt>
                <c:pt idx="41">
                  <c:v>4.4982451428220001E-2</c:v>
                </c:pt>
                <c:pt idx="42">
                  <c:v>4.2375990160564897E-2</c:v>
                </c:pt>
                <c:pt idx="43">
                  <c:v>4.4247401273958903E-2</c:v>
                </c:pt>
                <c:pt idx="44">
                  <c:v>4.7580992339478601E-2</c:v>
                </c:pt>
                <c:pt idx="45">
                  <c:v>4.8730113890708797E-2</c:v>
                </c:pt>
                <c:pt idx="46">
                  <c:v>4.8312957918595897E-2</c:v>
                </c:pt>
                <c:pt idx="47">
                  <c:v>4.5598743926773301E-2</c:v>
                </c:pt>
                <c:pt idx="48">
                  <c:v>5.0576304147787597E-2</c:v>
                </c:pt>
                <c:pt idx="49">
                  <c:v>5.4771896416748497E-2</c:v>
                </c:pt>
                <c:pt idx="50">
                  <c:v>5.5297285884977398E-2</c:v>
                </c:pt>
                <c:pt idx="51">
                  <c:v>5.3196355592552799E-2</c:v>
                </c:pt>
                <c:pt idx="52">
                  <c:v>5.3511652375985097E-2</c:v>
                </c:pt>
                <c:pt idx="53">
                  <c:v>5.2252224220126202E-2</c:v>
                </c:pt>
                <c:pt idx="54">
                  <c:v>5.1305007775039199E-2</c:v>
                </c:pt>
                <c:pt idx="55">
                  <c:v>5.1723687586976402E-2</c:v>
                </c:pt>
                <c:pt idx="56">
                  <c:v>4.6808113470370602E-2</c:v>
                </c:pt>
                <c:pt idx="57">
                  <c:v>4.4618356484328298E-2</c:v>
                </c:pt>
                <c:pt idx="58">
                  <c:v>4.2643849045689498E-2</c:v>
                </c:pt>
                <c:pt idx="59">
                  <c:v>4.4413512128134602E-2</c:v>
                </c:pt>
                <c:pt idx="60">
                  <c:v>3.8124969611125901E-2</c:v>
                </c:pt>
                <c:pt idx="61">
                  <c:v>4.1428469912195599E-2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34-4594-88EF-5F1801201EBE}"/>
            </c:ext>
          </c:extLst>
        </c:ser>
        <c:ser>
          <c:idx val="1"/>
          <c:order val="1"/>
          <c:tx>
            <c:strRef>
              <c:f>'5_Inflacion'!$D$26</c:f>
              <c:strCache>
                <c:ptCount val="1"/>
                <c:pt idx="0">
                  <c:v>CHILE</c:v>
                </c:pt>
              </c:strCache>
            </c:strRef>
          </c:tx>
          <c:spPr>
            <a:ln w="28440">
              <a:solidFill>
                <a:schemeClr val="accent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'5_Inflacion'!$B$27:$B$88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'5_Inflacion'!$D$27:$D$88</c:f>
              <c:numCache>
                <c:formatCode>0.00%;[Red]\(0.00%\);\-</c:formatCode>
                <c:ptCount val="62"/>
                <c:pt idx="0">
                  <c:v>2.7999999999999997E-2</c:v>
                </c:pt>
                <c:pt idx="1">
                  <c:v>2.8999999999999998E-2</c:v>
                </c:pt>
                <c:pt idx="2">
                  <c:v>3.3000000000000002E-2</c:v>
                </c:pt>
                <c:pt idx="3">
                  <c:v>3.6000000000000004E-2</c:v>
                </c:pt>
                <c:pt idx="4">
                  <c:v>3.7999999999999999E-2</c:v>
                </c:pt>
                <c:pt idx="5">
                  <c:v>4.4999999999999998E-2</c:v>
                </c:pt>
                <c:pt idx="6">
                  <c:v>4.8000000000000001E-2</c:v>
                </c:pt>
                <c:pt idx="7">
                  <c:v>5.2999999999999999E-2</c:v>
                </c:pt>
                <c:pt idx="8">
                  <c:v>0.06</c:v>
                </c:pt>
                <c:pt idx="9">
                  <c:v>6.7000000000000004E-2</c:v>
                </c:pt>
                <c:pt idx="10">
                  <c:v>7.2000000000000008E-2</c:v>
                </c:pt>
                <c:pt idx="11">
                  <c:v>7.6999999999999999E-2</c:v>
                </c:pt>
                <c:pt idx="12">
                  <c:v>7.8E-2</c:v>
                </c:pt>
                <c:pt idx="13">
                  <c:v>9.4E-2</c:v>
                </c:pt>
                <c:pt idx="14">
                  <c:v>0.105</c:v>
                </c:pt>
                <c:pt idx="15">
                  <c:v>0.115</c:v>
                </c:pt>
                <c:pt idx="16">
                  <c:v>0.125</c:v>
                </c:pt>
                <c:pt idx="17">
                  <c:v>0.13100000000000001</c:v>
                </c:pt>
                <c:pt idx="18">
                  <c:v>0.14099999999999999</c:v>
                </c:pt>
                <c:pt idx="19">
                  <c:v>0.13699999999999998</c:v>
                </c:pt>
                <c:pt idx="20">
                  <c:v>0.128</c:v>
                </c:pt>
                <c:pt idx="21">
                  <c:v>0.13300000000000001</c:v>
                </c:pt>
                <c:pt idx="22">
                  <c:v>0.128</c:v>
                </c:pt>
                <c:pt idx="23">
                  <c:v>0.12300000000000001</c:v>
                </c:pt>
                <c:pt idx="24">
                  <c:v>0.11900000000000001</c:v>
                </c:pt>
                <c:pt idx="25">
                  <c:v>0.111</c:v>
                </c:pt>
                <c:pt idx="26">
                  <c:v>9.9000000000000005E-2</c:v>
                </c:pt>
                <c:pt idx="27">
                  <c:v>8.6999999999999994E-2</c:v>
                </c:pt>
                <c:pt idx="28">
                  <c:v>7.5999999999999998E-2</c:v>
                </c:pt>
                <c:pt idx="29">
                  <c:v>6.5000000000000002E-2</c:v>
                </c:pt>
                <c:pt idx="30">
                  <c:v>5.2999999999999999E-2</c:v>
                </c:pt>
                <c:pt idx="31">
                  <c:v>5.0999999999999997E-2</c:v>
                </c:pt>
                <c:pt idx="32">
                  <c:v>0.05</c:v>
                </c:pt>
                <c:pt idx="33">
                  <c:v>4.8000000000000001E-2</c:v>
                </c:pt>
                <c:pt idx="34">
                  <c:v>3.9E-2</c:v>
                </c:pt>
                <c:pt idx="35">
                  <c:v>3.7999999999999999E-2</c:v>
                </c:pt>
                <c:pt idx="36">
                  <c:v>4.4999999999999998E-2</c:v>
                </c:pt>
                <c:pt idx="37">
                  <c:v>3.7000000000000005E-2</c:v>
                </c:pt>
                <c:pt idx="38">
                  <c:v>0.04</c:v>
                </c:pt>
                <c:pt idx="39">
                  <c:v>4.0999999999999995E-2</c:v>
                </c:pt>
                <c:pt idx="40">
                  <c:v>4.2000000000000003E-2</c:v>
                </c:pt>
                <c:pt idx="41">
                  <c:v>4.5999999999999999E-2</c:v>
                </c:pt>
                <c:pt idx="42">
                  <c:v>4.7E-2</c:v>
                </c:pt>
                <c:pt idx="43">
                  <c:v>4.0999999999999995E-2</c:v>
                </c:pt>
                <c:pt idx="44">
                  <c:v>4.7E-2</c:v>
                </c:pt>
                <c:pt idx="45">
                  <c:v>4.2000000000000003E-2</c:v>
                </c:pt>
                <c:pt idx="46">
                  <c:v>4.4999999999999998E-2</c:v>
                </c:pt>
                <c:pt idx="47">
                  <c:v>4.9000000000000002E-2</c:v>
                </c:pt>
                <c:pt idx="48">
                  <c:v>4.7E-2</c:v>
                </c:pt>
                <c:pt idx="49">
                  <c:v>4.9000000000000002E-2</c:v>
                </c:pt>
                <c:pt idx="50">
                  <c:v>4.4999999999999998E-2</c:v>
                </c:pt>
                <c:pt idx="51">
                  <c:v>4.4000000000000004E-2</c:v>
                </c:pt>
                <c:pt idx="52">
                  <c:v>4.0999999999999995E-2</c:v>
                </c:pt>
                <c:pt idx="53">
                  <c:v>4.2999999999999997E-2</c:v>
                </c:pt>
                <c:pt idx="54">
                  <c:v>0.04</c:v>
                </c:pt>
                <c:pt idx="55">
                  <c:v>4.4000000000000004E-2</c:v>
                </c:pt>
                <c:pt idx="56">
                  <c:v>3.4000000000000002E-2</c:v>
                </c:pt>
                <c:pt idx="57">
                  <c:v>3.4000000000000002E-2</c:v>
                </c:pt>
                <c:pt idx="58">
                  <c:v>3.5000000000000003E-2</c:v>
                </c:pt>
                <c:pt idx="59">
                  <c:v>2.7999999999999997E-2</c:v>
                </c:pt>
                <c:pt idx="60">
                  <c:v>2.4E-2</c:v>
                </c:pt>
                <c:pt idx="61">
                  <c:v>2.7999999999999997E-2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34-4594-88EF-5F1801201EBE}"/>
            </c:ext>
          </c:extLst>
        </c:ser>
        <c:ser>
          <c:idx val="2"/>
          <c:order val="2"/>
          <c:tx>
            <c:strRef>
              <c:f>'5_Inflacion'!$E$26</c:f>
              <c:strCache>
                <c:ptCount val="1"/>
                <c:pt idx="0">
                  <c:v>COLOMBIA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'5_Inflacion'!$B$27:$B$88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'5_Inflacion'!$E$27:$E$88</c:f>
              <c:numCache>
                <c:formatCode>0.00%;[Red]\(0.00%\);\-</c:formatCode>
                <c:ptCount val="62"/>
                <c:pt idx="0">
                  <c:v>2.5099999999999997E-2</c:v>
                </c:pt>
                <c:pt idx="1">
                  <c:v>2.58E-2</c:v>
                </c:pt>
                <c:pt idx="2">
                  <c:v>3.0600000000000002E-2</c:v>
                </c:pt>
                <c:pt idx="3">
                  <c:v>3.49E-2</c:v>
                </c:pt>
                <c:pt idx="4">
                  <c:v>3.7100000000000001E-2</c:v>
                </c:pt>
                <c:pt idx="5">
                  <c:v>3.95E-2</c:v>
                </c:pt>
                <c:pt idx="6">
                  <c:v>4.0899999999999999E-2</c:v>
                </c:pt>
                <c:pt idx="7">
                  <c:v>4.7E-2</c:v>
                </c:pt>
                <c:pt idx="8">
                  <c:v>5.2600000000000001E-2</c:v>
                </c:pt>
                <c:pt idx="9">
                  <c:v>5.57E-2</c:v>
                </c:pt>
                <c:pt idx="10">
                  <c:v>5.62E-2</c:v>
                </c:pt>
                <c:pt idx="11">
                  <c:v>6.93E-2</c:v>
                </c:pt>
                <c:pt idx="12">
                  <c:v>7.5199999999999989E-2</c:v>
                </c:pt>
                <c:pt idx="13">
                  <c:v>7.5399999999999995E-2</c:v>
                </c:pt>
                <c:pt idx="14">
                  <c:v>8.0399999999999985E-2</c:v>
                </c:pt>
                <c:pt idx="15">
                  <c:v>8.2400000000000001E-2</c:v>
                </c:pt>
                <c:pt idx="16">
                  <c:v>9.2300000000000007E-2</c:v>
                </c:pt>
                <c:pt idx="17">
                  <c:v>9.7100000000000006E-2</c:v>
                </c:pt>
                <c:pt idx="18">
                  <c:v>0.1082</c:v>
                </c:pt>
                <c:pt idx="19">
                  <c:v>0.11289999999999999</c:v>
                </c:pt>
                <c:pt idx="20">
                  <c:v>0.125</c:v>
                </c:pt>
                <c:pt idx="21">
                  <c:v>0.12839999999999999</c:v>
                </c:pt>
                <c:pt idx="22">
                  <c:v>0.13119999999999998</c:v>
                </c:pt>
                <c:pt idx="23">
                  <c:v>0.11749999999999999</c:v>
                </c:pt>
                <c:pt idx="24">
                  <c:v>0.1242</c:v>
                </c:pt>
                <c:pt idx="25">
                  <c:v>0.12039999999999999</c:v>
                </c:pt>
                <c:pt idx="26">
                  <c:v>0.11109999999999999</c:v>
                </c:pt>
                <c:pt idx="27">
                  <c:v>0.10769999999999999</c:v>
                </c:pt>
                <c:pt idx="28">
                  <c:v>0.10439999999999999</c:v>
                </c:pt>
                <c:pt idx="29">
                  <c:v>9.820000000000001E-2</c:v>
                </c:pt>
                <c:pt idx="30">
                  <c:v>9.5199999999999993E-2</c:v>
                </c:pt>
                <c:pt idx="31">
                  <c:v>9.3100000000000002E-2</c:v>
                </c:pt>
                <c:pt idx="32">
                  <c:v>9.1799999999999993E-2</c:v>
                </c:pt>
                <c:pt idx="33">
                  <c:v>9.1799999999999993E-2</c:v>
                </c:pt>
                <c:pt idx="34">
                  <c:v>9.2799999999999994E-2</c:v>
                </c:pt>
                <c:pt idx="35">
                  <c:v>6.5099999999999991E-2</c:v>
                </c:pt>
                <c:pt idx="36">
                  <c:v>7.0699999999999999E-2</c:v>
                </c:pt>
                <c:pt idx="37">
                  <c:v>7.2700000000000001E-2</c:v>
                </c:pt>
                <c:pt idx="38">
                  <c:v>7.0000000000000007E-2</c:v>
                </c:pt>
                <c:pt idx="39">
                  <c:v>6.3399999999999998E-2</c:v>
                </c:pt>
                <c:pt idx="40">
                  <c:v>6.25E-2</c:v>
                </c:pt>
                <c:pt idx="41">
                  <c:v>6.2899999999999998E-2</c:v>
                </c:pt>
                <c:pt idx="42">
                  <c:v>5.0999999999999997E-2</c:v>
                </c:pt>
                <c:pt idx="43">
                  <c:v>5.2400000000000002E-2</c:v>
                </c:pt>
                <c:pt idx="44">
                  <c:v>5.3899999999999997E-2</c:v>
                </c:pt>
                <c:pt idx="45">
                  <c:v>5.3600000000000002E-2</c:v>
                </c:pt>
                <c:pt idx="46">
                  <c:v>5.2000000000000005E-2</c:v>
                </c:pt>
                <c:pt idx="47">
                  <c:v>5.2999999999999999E-2</c:v>
                </c:pt>
                <c:pt idx="48">
                  <c:v>5.3899999999999997E-2</c:v>
                </c:pt>
                <c:pt idx="49">
                  <c:v>5.3899999999999997E-2</c:v>
                </c:pt>
                <c:pt idx="50">
                  <c:v>5.2900000000000003E-2</c:v>
                </c:pt>
                <c:pt idx="51">
                  <c:v>5.1699999999999996E-2</c:v>
                </c:pt>
                <c:pt idx="52">
                  <c:v>5.2000000000000005E-2</c:v>
                </c:pt>
                <c:pt idx="53">
                  <c:v>5.1900000000000002E-2</c:v>
                </c:pt>
                <c:pt idx="54">
                  <c:v>5.1100000000000007E-2</c:v>
                </c:pt>
                <c:pt idx="55">
                  <c:v>5.0700000000000002E-2</c:v>
                </c:pt>
                <c:pt idx="56">
                  <c:v>5.0799999999999998E-2</c:v>
                </c:pt>
                <c:pt idx="57">
                  <c:v>5.0999999999999997E-2</c:v>
                </c:pt>
                <c:pt idx="58">
                  <c:v>5.0999999999999997E-2</c:v>
                </c:pt>
                <c:pt idx="59">
                  <c:v>5.04E-2</c:v>
                </c:pt>
                <c:pt idx="60">
                  <c:v>5.2900000000000003E-2</c:v>
                </c:pt>
                <c:pt idx="61">
                  <c:v>5.5599999999999997E-2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34-4594-88EF-5F1801201EBE}"/>
            </c:ext>
          </c:extLst>
        </c:ser>
        <c:ser>
          <c:idx val="3"/>
          <c:order val="3"/>
          <c:tx>
            <c:strRef>
              <c:f>'5_Inflacion'!$F$26</c:f>
              <c:strCache>
                <c:ptCount val="1"/>
                <c:pt idx="0">
                  <c:v>MEXICO</c:v>
                </c:pt>
              </c:strCache>
            </c:strRef>
          </c:tx>
          <c:spPr>
            <a:ln w="28440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'5_Inflacion'!$B$27:$B$88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'5_Inflacion'!$F$27:$F$88</c:f>
              <c:numCache>
                <c:formatCode>0.00%;[Red]\(0.00%\);\-</c:formatCode>
                <c:ptCount val="62"/>
                <c:pt idx="0">
                  <c:v>3.7599999999999995E-2</c:v>
                </c:pt>
                <c:pt idx="1">
                  <c:v>4.6699999999999998E-2</c:v>
                </c:pt>
                <c:pt idx="2">
                  <c:v>6.08E-2</c:v>
                </c:pt>
                <c:pt idx="3">
                  <c:v>5.8899999999999994E-2</c:v>
                </c:pt>
                <c:pt idx="4">
                  <c:v>5.8799999999999998E-2</c:v>
                </c:pt>
                <c:pt idx="5">
                  <c:v>5.8099999999999999E-2</c:v>
                </c:pt>
                <c:pt idx="6">
                  <c:v>5.5899999999999998E-2</c:v>
                </c:pt>
                <c:pt idx="7">
                  <c:v>0.06</c:v>
                </c:pt>
                <c:pt idx="8">
                  <c:v>6.2400000000000004E-2</c:v>
                </c:pt>
                <c:pt idx="9">
                  <c:v>7.3700000000000002E-2</c:v>
                </c:pt>
                <c:pt idx="10">
                  <c:v>7.3599999999999999E-2</c:v>
                </c:pt>
                <c:pt idx="11">
                  <c:v>7.0699999999999999E-2</c:v>
                </c:pt>
                <c:pt idx="12">
                  <c:v>7.2800000000000004E-2</c:v>
                </c:pt>
                <c:pt idx="13">
                  <c:v>7.4499999999999997E-2</c:v>
                </c:pt>
                <c:pt idx="14">
                  <c:v>7.6799999999999993E-2</c:v>
                </c:pt>
                <c:pt idx="15">
                  <c:v>7.6499999999999999E-2</c:v>
                </c:pt>
                <c:pt idx="16">
                  <c:v>7.9899999999999999E-2</c:v>
                </c:pt>
                <c:pt idx="17">
                  <c:v>8.1500000000000003E-2</c:v>
                </c:pt>
                <c:pt idx="18">
                  <c:v>8.6999999999999994E-2</c:v>
                </c:pt>
                <c:pt idx="19">
                  <c:v>8.6999999999999994E-2</c:v>
                </c:pt>
                <c:pt idx="20">
                  <c:v>8.4100000000000008E-2</c:v>
                </c:pt>
                <c:pt idx="21">
                  <c:v>7.8E-2</c:v>
                </c:pt>
                <c:pt idx="22">
                  <c:v>7.8200000000000006E-2</c:v>
                </c:pt>
                <c:pt idx="23">
                  <c:v>7.9100000000000004E-2</c:v>
                </c:pt>
                <c:pt idx="24">
                  <c:v>7.6200000000000004E-2</c:v>
                </c:pt>
                <c:pt idx="25">
                  <c:v>6.8499999999999991E-2</c:v>
                </c:pt>
                <c:pt idx="26">
                  <c:v>6.25E-2</c:v>
                </c:pt>
                <c:pt idx="27">
                  <c:v>5.8400000000000001E-2</c:v>
                </c:pt>
                <c:pt idx="28">
                  <c:v>5.0599999999999999E-2</c:v>
                </c:pt>
                <c:pt idx="29">
                  <c:v>4.7899999999999998E-2</c:v>
                </c:pt>
                <c:pt idx="30">
                  <c:v>4.6399999999999997E-2</c:v>
                </c:pt>
                <c:pt idx="31">
                  <c:v>4.4500000000000005E-2</c:v>
                </c:pt>
                <c:pt idx="32">
                  <c:v>4.2599999999999999E-2</c:v>
                </c:pt>
                <c:pt idx="33">
                  <c:v>4.3200000000000002E-2</c:v>
                </c:pt>
                <c:pt idx="34">
                  <c:v>4.6600000000000003E-2</c:v>
                </c:pt>
                <c:pt idx="35">
                  <c:v>4.8799999999999996E-2</c:v>
                </c:pt>
                <c:pt idx="36">
                  <c:v>4.4000000000000004E-2</c:v>
                </c:pt>
                <c:pt idx="37">
                  <c:v>4.4199999999999996E-2</c:v>
                </c:pt>
                <c:pt idx="38">
                  <c:v>4.6500000000000007E-2</c:v>
                </c:pt>
                <c:pt idx="39">
                  <c:v>4.6900000000000004E-2</c:v>
                </c:pt>
                <c:pt idx="40">
                  <c:v>4.9800000000000004E-2</c:v>
                </c:pt>
                <c:pt idx="41">
                  <c:v>5.57E-2</c:v>
                </c:pt>
                <c:pt idx="42">
                  <c:v>4.99E-2</c:v>
                </c:pt>
                <c:pt idx="43">
                  <c:v>4.58E-2</c:v>
                </c:pt>
                <c:pt idx="44">
                  <c:v>4.7599999999999996E-2</c:v>
                </c:pt>
                <c:pt idx="45">
                  <c:v>4.5499999999999999E-2</c:v>
                </c:pt>
                <c:pt idx="46">
                  <c:v>4.2099999999999999E-2</c:v>
                </c:pt>
                <c:pt idx="47">
                  <c:v>3.5900000000000001E-2</c:v>
                </c:pt>
                <c:pt idx="48">
                  <c:v>3.7699999999999997E-2</c:v>
                </c:pt>
                <c:pt idx="49">
                  <c:v>3.7999999999999999E-2</c:v>
                </c:pt>
                <c:pt idx="50">
                  <c:v>3.9300000000000002E-2</c:v>
                </c:pt>
                <c:pt idx="51">
                  <c:v>4.4199999999999996E-2</c:v>
                </c:pt>
                <c:pt idx="52">
                  <c:v>4.3200000000000002E-2</c:v>
                </c:pt>
                <c:pt idx="53">
                  <c:v>3.5099999999999999E-2</c:v>
                </c:pt>
                <c:pt idx="54">
                  <c:v>3.5699999999999996E-2</c:v>
                </c:pt>
                <c:pt idx="55">
                  <c:v>3.7599999999999995E-2</c:v>
                </c:pt>
                <c:pt idx="56">
                  <c:v>3.5699999999999996E-2</c:v>
                </c:pt>
                <c:pt idx="57">
                  <c:v>3.7999999999999999E-2</c:v>
                </c:pt>
                <c:pt idx="58">
                  <c:v>3.6900000000000002E-2</c:v>
                </c:pt>
                <c:pt idx="59">
                  <c:v>3.7900000000000003E-2</c:v>
                </c:pt>
                <c:pt idx="60">
                  <c:v>4.0199999999999993E-2</c:v>
                </c:pt>
                <c:pt idx="61">
                  <c:v>4.5899999999999996E-2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C34-4594-88EF-5F1801201EBE}"/>
            </c:ext>
          </c:extLst>
        </c:ser>
        <c:ser>
          <c:idx val="4"/>
          <c:order val="4"/>
          <c:tx>
            <c:strRef>
              <c:f>'5_Inflacion'!$G$26</c:f>
              <c:strCache>
                <c:ptCount val="1"/>
                <c:pt idx="0">
                  <c:v>PERU</c:v>
                </c:pt>
              </c:strCache>
            </c:strRef>
          </c:tx>
          <c:spPr>
            <a:ln w="28440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'5_Inflacion'!$B$27:$B$88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'5_Inflacion'!$G$27:$G$88</c:f>
              <c:numCache>
                <c:formatCode>0.00%;[Red]\(0.00%\);\-</c:formatCode>
                <c:ptCount val="62"/>
                <c:pt idx="0">
                  <c:v>2.4046793760831998E-2</c:v>
                </c:pt>
                <c:pt idx="1">
                  <c:v>2.59362892811019E-2</c:v>
                </c:pt>
                <c:pt idx="2">
                  <c:v>2.3868401247177699E-2</c:v>
                </c:pt>
                <c:pt idx="3">
                  <c:v>2.4570815450643699E-2</c:v>
                </c:pt>
                <c:pt idx="4">
                  <c:v>3.2487091222031202E-2</c:v>
                </c:pt>
                <c:pt idx="5">
                  <c:v>3.8119713031373702E-2</c:v>
                </c:pt>
                <c:pt idx="6">
                  <c:v>4.9528301886792497E-2</c:v>
                </c:pt>
                <c:pt idx="7">
                  <c:v>5.2349855475858999E-2</c:v>
                </c:pt>
                <c:pt idx="8">
                  <c:v>5.8225409397409701E-2</c:v>
                </c:pt>
                <c:pt idx="9">
                  <c:v>5.6543499094878102E-2</c:v>
                </c:pt>
                <c:pt idx="10">
                  <c:v>6.4282673478075897E-2</c:v>
                </c:pt>
                <c:pt idx="11">
                  <c:v>5.6834988379463401E-2</c:v>
                </c:pt>
                <c:pt idx="12">
                  <c:v>6.1455468584726003E-2</c:v>
                </c:pt>
                <c:pt idx="13">
                  <c:v>6.82891010175182E-2</c:v>
                </c:pt>
                <c:pt idx="14">
                  <c:v>7.9701774650845297E-2</c:v>
                </c:pt>
                <c:pt idx="15">
                  <c:v>8.08461619017697E-2</c:v>
                </c:pt>
                <c:pt idx="16">
                  <c:v>8.8143363200666694E-2</c:v>
                </c:pt>
                <c:pt idx="17">
                  <c:v>8.7364620938628096E-2</c:v>
                </c:pt>
                <c:pt idx="18">
                  <c:v>8.4065372829417603E-2</c:v>
                </c:pt>
                <c:pt idx="19">
                  <c:v>8.5249237029501698E-2</c:v>
                </c:pt>
                <c:pt idx="20">
                  <c:v>8.2734904419945299E-2</c:v>
                </c:pt>
                <c:pt idx="21">
                  <c:v>8.4458778472082302E-2</c:v>
                </c:pt>
                <c:pt idx="22">
                  <c:v>8.4599999999999995E-2</c:v>
                </c:pt>
                <c:pt idx="23">
                  <c:v>8.6565373850459704E-2</c:v>
                </c:pt>
                <c:pt idx="24">
                  <c:v>8.6397608370702497E-2</c:v>
                </c:pt>
                <c:pt idx="25">
                  <c:v>8.3955223880596994E-2</c:v>
                </c:pt>
                <c:pt idx="26">
                  <c:v>7.9653763859171403E-2</c:v>
                </c:pt>
                <c:pt idx="27">
                  <c:v>7.8965216548784203E-2</c:v>
                </c:pt>
                <c:pt idx="28">
                  <c:v>6.4630409804672606E-2</c:v>
                </c:pt>
                <c:pt idx="29">
                  <c:v>5.8812369569341702E-2</c:v>
                </c:pt>
                <c:pt idx="30">
                  <c:v>5.56864223122586E-2</c:v>
                </c:pt>
                <c:pt idx="31">
                  <c:v>5.0431196100487297E-2</c:v>
                </c:pt>
                <c:pt idx="32">
                  <c:v>4.3437645959832002E-2</c:v>
                </c:pt>
                <c:pt idx="33">
                  <c:v>3.64312267657994E-2</c:v>
                </c:pt>
                <c:pt idx="34">
                  <c:v>3.2362161165406599E-2</c:v>
                </c:pt>
                <c:pt idx="35">
                  <c:v>3.0266789328426798E-2</c:v>
                </c:pt>
                <c:pt idx="36">
                  <c:v>3.30214639515687E-2</c:v>
                </c:pt>
                <c:pt idx="37">
                  <c:v>3.0437539632213E-2</c:v>
                </c:pt>
                <c:pt idx="38">
                  <c:v>2.41419691919647E-2</c:v>
                </c:pt>
                <c:pt idx="39">
                  <c:v>2.0025143678160901E-2</c:v>
                </c:pt>
                <c:pt idx="40">
                  <c:v>2.2843780915550001E-2</c:v>
                </c:pt>
                <c:pt idx="41">
                  <c:v>2.1322343666009699E-2</c:v>
                </c:pt>
                <c:pt idx="42">
                  <c:v>2.0349875044626702E-2</c:v>
                </c:pt>
                <c:pt idx="43">
                  <c:v>1.7758343744422599E-2</c:v>
                </c:pt>
                <c:pt idx="44">
                  <c:v>2.00537153088629E-2</c:v>
                </c:pt>
                <c:pt idx="45">
                  <c:v>2.2686513629842201E-2</c:v>
                </c:pt>
                <c:pt idx="46">
                  <c:v>1.9648120032151401E-2</c:v>
                </c:pt>
                <c:pt idx="47">
                  <c:v>1.8573086882757401E-2</c:v>
                </c:pt>
                <c:pt idx="48">
                  <c:v>1.47398330669508E-2</c:v>
                </c:pt>
                <c:pt idx="49">
                  <c:v>1.28351648351648E-2</c:v>
                </c:pt>
                <c:pt idx="50">
                  <c:v>1.65361949159997E-2</c:v>
                </c:pt>
                <c:pt idx="51">
                  <c:v>1.6902896381723698E-2</c:v>
                </c:pt>
                <c:pt idx="52">
                  <c:v>1.69700167062341E-2</c:v>
                </c:pt>
                <c:pt idx="53">
                  <c:v>1.6842105263157998E-2</c:v>
                </c:pt>
                <c:pt idx="54">
                  <c:v>1.1109167249825099E-2</c:v>
                </c:pt>
                <c:pt idx="55">
                  <c:v>1.35905304690924E-2</c:v>
                </c:pt>
                <c:pt idx="56">
                  <c:v>1.35158855538002E-2</c:v>
                </c:pt>
                <c:pt idx="57">
                  <c:v>1.36782113108287E-2</c:v>
                </c:pt>
                <c:pt idx="58">
                  <c:v>1.5065253569238801E-2</c:v>
                </c:pt>
                <c:pt idx="59">
                  <c:v>1.7007100902954399E-2</c:v>
                </c:pt>
                <c:pt idx="60">
                  <c:v>2.2138606930346399E-2</c:v>
                </c:pt>
                <c:pt idx="61">
                  <c:v>3.8017533200243002E-2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C34-4594-88EF-5F1801201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253335"/>
        <c:axId val="24217405"/>
      </c:lineChart>
      <c:dateAx>
        <c:axId val="3425333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24217405"/>
        <c:crosses val="autoZero"/>
        <c:auto val="1"/>
        <c:lblOffset val="100"/>
        <c:baseTimeUnit val="months"/>
      </c:dateAx>
      <c:valAx>
        <c:axId val="2421740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CO"/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342533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4"/>
      </a:solidFill>
      <a:round/>
    </a:ln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ura Sans" pitchFamily="50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'5_Inflacion'!$H$26</c:f>
              <c:strCache>
                <c:ptCount val="1"/>
                <c:pt idx="0">
                  <c:v>Estados Unidos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'5_Inflacion'!$B$27:$B$94</c:f>
              <c:numCache>
                <c:formatCode>mmm\-yy</c:formatCode>
                <c:ptCount val="68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  <c:pt idx="62">
                  <c:v>46113</c:v>
                </c:pt>
                <c:pt idx="63">
                  <c:v>46173</c:v>
                </c:pt>
                <c:pt idx="64">
                  <c:v>46203</c:v>
                </c:pt>
                <c:pt idx="65">
                  <c:v>46234</c:v>
                </c:pt>
                <c:pt idx="66">
                  <c:v>46265</c:v>
                </c:pt>
                <c:pt idx="67">
                  <c:v>46295</c:v>
                </c:pt>
              </c:numCache>
            </c:numRef>
          </c:cat>
          <c:val>
            <c:numRef>
              <c:f>'5_Inflacion'!$H$27:$H$94</c:f>
              <c:numCache>
                <c:formatCode>0.00%;[Red]\(0.00%\);\-</c:formatCode>
                <c:ptCount val="68"/>
                <c:pt idx="0">
                  <c:v>1.66982E-2</c:v>
                </c:pt>
                <c:pt idx="1">
                  <c:v>2.6678199999999999E-2</c:v>
                </c:pt>
                <c:pt idx="2">
                  <c:v>4.1330799999999994E-2</c:v>
                </c:pt>
                <c:pt idx="3">
                  <c:v>4.91826E-2</c:v>
                </c:pt>
                <c:pt idx="4">
                  <c:v>5.2956299999999998E-2</c:v>
                </c:pt>
                <c:pt idx="5">
                  <c:v>5.2451699999999997E-2</c:v>
                </c:pt>
                <c:pt idx="6">
                  <c:v>5.1520200000000002E-2</c:v>
                </c:pt>
                <c:pt idx="7">
                  <c:v>5.3512199999999996E-2</c:v>
                </c:pt>
                <c:pt idx="8">
                  <c:v>6.23504E-2</c:v>
                </c:pt>
                <c:pt idx="9">
                  <c:v>6.9019700000000003E-2</c:v>
                </c:pt>
                <c:pt idx="10">
                  <c:v>7.1743399999999999E-2</c:v>
                </c:pt>
                <c:pt idx="11">
                  <c:v>7.5588100000000005E-2</c:v>
                </c:pt>
                <c:pt idx="12">
                  <c:v>7.9372800000000007E-2</c:v>
                </c:pt>
                <c:pt idx="13">
                  <c:v>8.5722000000000007E-2</c:v>
                </c:pt>
                <c:pt idx="14">
                  <c:v>8.2317500000000002E-2</c:v>
                </c:pt>
                <c:pt idx="15">
                  <c:v>8.5381699999999991E-2</c:v>
                </c:pt>
                <c:pt idx="16">
                  <c:v>8.9793600000000001E-2</c:v>
                </c:pt>
                <c:pt idx="17">
                  <c:v>8.4625800000000015E-2</c:v>
                </c:pt>
                <c:pt idx="18">
                  <c:v>8.2225800000000002E-2</c:v>
                </c:pt>
                <c:pt idx="19">
                  <c:v>8.1921099999999997E-2</c:v>
                </c:pt>
                <c:pt idx="20">
                  <c:v>7.7588100000000007E-2</c:v>
                </c:pt>
                <c:pt idx="21">
                  <c:v>7.1228600000000003E-2</c:v>
                </c:pt>
                <c:pt idx="22">
                  <c:v>6.4046000000000006E-2</c:v>
                </c:pt>
                <c:pt idx="23">
                  <c:v>6.3271800000000003E-2</c:v>
                </c:pt>
                <c:pt idx="24">
                  <c:v>5.9578199999999998E-2</c:v>
                </c:pt>
                <c:pt idx="25">
                  <c:v>4.9177200000000004E-2</c:v>
                </c:pt>
                <c:pt idx="26">
                  <c:v>4.9500799999999998E-2</c:v>
                </c:pt>
                <c:pt idx="27">
                  <c:v>4.1318500000000001E-2</c:v>
                </c:pt>
                <c:pt idx="28">
                  <c:v>3.0706199999999999E-2</c:v>
                </c:pt>
                <c:pt idx="29">
                  <c:v>3.2877499999999997E-2</c:v>
                </c:pt>
                <c:pt idx="30">
                  <c:v>3.7225000000000001E-2</c:v>
                </c:pt>
                <c:pt idx="31">
                  <c:v>3.6872099999999998E-2</c:v>
                </c:pt>
                <c:pt idx="32">
                  <c:v>3.2512699999999999E-2</c:v>
                </c:pt>
                <c:pt idx="33">
                  <c:v>3.13335E-2</c:v>
                </c:pt>
                <c:pt idx="34">
                  <c:v>3.3159100000000004E-2</c:v>
                </c:pt>
                <c:pt idx="35">
                  <c:v>3.0883400000000002E-2</c:v>
                </c:pt>
                <c:pt idx="36">
                  <c:v>3.15707E-2</c:v>
                </c:pt>
                <c:pt idx="37">
                  <c:v>3.4868299999999998E-2</c:v>
                </c:pt>
                <c:pt idx="38">
                  <c:v>3.3607999999999999E-2</c:v>
                </c:pt>
                <c:pt idx="39">
                  <c:v>3.2442800000000001E-2</c:v>
                </c:pt>
                <c:pt idx="40">
                  <c:v>2.9702600000000003E-2</c:v>
                </c:pt>
                <c:pt idx="41">
                  <c:v>2.9414799999999998E-2</c:v>
                </c:pt>
                <c:pt idx="42">
                  <c:v>2.6071399999999998E-2</c:v>
                </c:pt>
                <c:pt idx="43">
                  <c:v>2.4264800000000003E-2</c:v>
                </c:pt>
                <c:pt idx="44">
                  <c:v>2.57884E-2</c:v>
                </c:pt>
                <c:pt idx="45">
                  <c:v>2.7194699999999999E-2</c:v>
                </c:pt>
                <c:pt idx="46">
                  <c:v>2.87069E-2</c:v>
                </c:pt>
                <c:pt idx="47">
                  <c:v>2.99098E-2</c:v>
                </c:pt>
                <c:pt idx="48">
                  <c:v>2.80158E-2</c:v>
                </c:pt>
                <c:pt idx="49">
                  <c:v>2.3819799999999999E-2</c:v>
                </c:pt>
                <c:pt idx="50">
                  <c:v>2.3253900000000001E-2</c:v>
                </c:pt>
                <c:pt idx="51">
                  <c:v>2.3772700000000001E-2</c:v>
                </c:pt>
                <c:pt idx="52">
                  <c:v>2.6804499999999998E-2</c:v>
                </c:pt>
                <c:pt idx="53">
                  <c:v>2.7426200000000001E-2</c:v>
                </c:pt>
                <c:pt idx="54">
                  <c:v>2.93859E-2</c:v>
                </c:pt>
                <c:pt idx="55">
                  <c:v>3.0225700000000001E-2</c:v>
                </c:pt>
                <c:pt idx="56">
                  <c:v>3.0225700000000001E-2</c:v>
                </c:pt>
                <c:pt idx="57">
                  <c:v>2.6964399999999999E-2</c:v>
                </c:pt>
                <c:pt idx="58">
                  <c:v>2.6533000000000001E-2</c:v>
                </c:pt>
                <c:pt idx="59">
                  <c:v>2.3911999999999999E-2</c:v>
                </c:pt>
                <c:pt idx="60">
                  <c:v>2.4340000000000001E-2</c:v>
                </c:pt>
                <c:pt idx="61">
                  <c:v>3.2859600000000003E-2</c:v>
                </c:pt>
                <c:pt idx="62">
                  <c:v>3.77925E-2</c:v>
                </c:pt>
                <c:pt idx="63">
                  <c:v>4.1666100000000005E-2</c:v>
                </c:pt>
                <c:pt idx="64">
                  <c:v>3.4635300000000001E-2</c:v>
                </c:pt>
                <c:pt idx="65">
                  <c:v>3.3038600000000001E-2</c:v>
                </c:pt>
                <c:pt idx="66">
                  <c:v>3.4000000000000002E-2</c:v>
                </c:pt>
                <c:pt idx="67">
                  <c:v>3.6999999999999998E-2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95-4E39-B660-1B000E72A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412607"/>
        <c:axId val="673732559"/>
      </c:lineChart>
      <c:dateAx>
        <c:axId val="59841260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endParaRPr lang="es-CO"/>
          </a:p>
        </c:txPr>
        <c:crossAx val="673732559"/>
        <c:crosses val="autoZero"/>
        <c:auto val="1"/>
        <c:lblOffset val="100"/>
        <c:baseTimeUnit val="months"/>
      </c:dateAx>
      <c:valAx>
        <c:axId val="6737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;[Red]\(0.00%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endParaRPr lang="es-CO"/>
          </a:p>
        </c:txPr>
        <c:crossAx val="59841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r>
              <a:rPr lang="es-CO" b="1">
                <a:solidFill>
                  <a:schemeClr val="accent5"/>
                </a:solidFill>
              </a:rPr>
              <a:t>Inflación</a:t>
            </a:r>
            <a:r>
              <a:rPr lang="es-CO" b="1" baseline="0">
                <a:solidFill>
                  <a:schemeClr val="accent5"/>
                </a:solidFill>
              </a:rPr>
              <a:t> LATAM &amp; USA</a:t>
            </a:r>
            <a:endParaRPr lang="es-CO" b="1">
              <a:solidFill>
                <a:schemeClr val="accent5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'5_Inflacion'!$C$26</c:f>
              <c:strCache>
                <c:ptCount val="1"/>
                <c:pt idx="0">
                  <c:v>BRASIL</c:v>
                </c:pt>
              </c:strCache>
            </c:strRef>
          </c:tx>
          <c:spPr>
            <a:ln w="28440">
              <a:solidFill>
                <a:srgbClr val="51C599"/>
              </a:solidFill>
              <a:round/>
            </a:ln>
          </c:spPr>
          <c:marker>
            <c:symbol val="none"/>
          </c:marker>
          <c:cat>
            <c:numRef>
              <c:f>'5_Inflacion'!$B$27:$B$88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'5_Inflacion'!$C$27:$C$88</c:f>
              <c:numCache>
                <c:formatCode>0.00%;[Red]\(0.00%\);\-</c:formatCode>
                <c:ptCount val="62"/>
                <c:pt idx="0">
                  <c:v>5.1952805482628803E-2</c:v>
                </c:pt>
                <c:pt idx="1">
                  <c:v>6.0993271283718897E-2</c:v>
                </c:pt>
                <c:pt idx="2">
                  <c:v>6.7591885269032898E-2</c:v>
                </c:pt>
                <c:pt idx="3">
                  <c:v>8.0559022201129704E-2</c:v>
                </c:pt>
                <c:pt idx="4">
                  <c:v>8.3468965707955298E-2</c:v>
                </c:pt>
                <c:pt idx="5">
                  <c:v>8.9946460520876598E-2</c:v>
                </c:pt>
                <c:pt idx="6">
                  <c:v>9.6796682688954402E-2</c:v>
                </c:pt>
                <c:pt idx="7">
                  <c:v>0.102463756168667</c:v>
                </c:pt>
                <c:pt idx="8">
                  <c:v>0.106726703470926</c:v>
                </c:pt>
                <c:pt idx="9">
                  <c:v>0.10738488170671</c:v>
                </c:pt>
                <c:pt idx="10">
                  <c:v>0.10061054893257899</c:v>
                </c:pt>
                <c:pt idx="11">
                  <c:v>0.103794359996823</c:v>
                </c:pt>
                <c:pt idx="12">
                  <c:v>0.105435934000388</c:v>
                </c:pt>
                <c:pt idx="13">
                  <c:v>0.11299315974556</c:v>
                </c:pt>
                <c:pt idx="14">
                  <c:v>0.121314811323759</c:v>
                </c:pt>
                <c:pt idx="15">
                  <c:v>0.11731130708814901</c:v>
                </c:pt>
                <c:pt idx="16">
                  <c:v>0.11886729617590699</c:v>
                </c:pt>
                <c:pt idx="17">
                  <c:v>0.100692351982875</c:v>
                </c:pt>
                <c:pt idx="18">
                  <c:v>8.7270605250061403E-2</c:v>
                </c:pt>
                <c:pt idx="19">
                  <c:v>7.1685963320320595E-2</c:v>
                </c:pt>
                <c:pt idx="20">
                  <c:v>6.4700158522380799E-2</c:v>
                </c:pt>
                <c:pt idx="21">
                  <c:v>5.9004882785856902E-2</c:v>
                </c:pt>
                <c:pt idx="22">
                  <c:v>5.7848419596077602E-2</c:v>
                </c:pt>
                <c:pt idx="23">
                  <c:v>5.7743202924146302E-2</c:v>
                </c:pt>
                <c:pt idx="24">
                  <c:v>5.5963019333441298E-2</c:v>
                </c:pt>
                <c:pt idx="25">
                  <c:v>4.6506944273478901E-2</c:v>
                </c:pt>
                <c:pt idx="26">
                  <c:v>4.1847057820648202E-2</c:v>
                </c:pt>
                <c:pt idx="27">
                  <c:v>3.9358321940515403E-2</c:v>
                </c:pt>
                <c:pt idx="28">
                  <c:v>3.1615014684576198E-2</c:v>
                </c:pt>
                <c:pt idx="29">
                  <c:v>3.9924438886627098E-2</c:v>
                </c:pt>
                <c:pt idx="30">
                  <c:v>4.6082160875216903E-2</c:v>
                </c:pt>
                <c:pt idx="31">
                  <c:v>5.1852346297756299E-2</c:v>
                </c:pt>
                <c:pt idx="32">
                  <c:v>4.8192456435899297E-2</c:v>
                </c:pt>
                <c:pt idx="33">
                  <c:v>4.6835370295706703E-2</c:v>
                </c:pt>
                <c:pt idx="34">
                  <c:v>4.6211139305667899E-2</c:v>
                </c:pt>
                <c:pt idx="35">
                  <c:v>4.5066374306924402E-2</c:v>
                </c:pt>
                <c:pt idx="36">
                  <c:v>4.49627382126856E-2</c:v>
                </c:pt>
                <c:pt idx="37">
                  <c:v>3.9255961268817002E-2</c:v>
                </c:pt>
                <c:pt idx="38">
                  <c:v>3.6880164915653199E-2</c:v>
                </c:pt>
                <c:pt idx="39">
                  <c:v>3.9259516785658199E-2</c:v>
                </c:pt>
                <c:pt idx="40">
                  <c:v>4.2275782396825799E-2</c:v>
                </c:pt>
                <c:pt idx="41">
                  <c:v>4.4982451428220001E-2</c:v>
                </c:pt>
                <c:pt idx="42">
                  <c:v>4.2375990160564897E-2</c:v>
                </c:pt>
                <c:pt idx="43">
                  <c:v>4.4247401273958903E-2</c:v>
                </c:pt>
                <c:pt idx="44">
                  <c:v>4.7580992339478601E-2</c:v>
                </c:pt>
                <c:pt idx="45">
                  <c:v>4.8730113890708797E-2</c:v>
                </c:pt>
                <c:pt idx="46">
                  <c:v>4.8312957918595897E-2</c:v>
                </c:pt>
                <c:pt idx="47">
                  <c:v>4.5598743926773301E-2</c:v>
                </c:pt>
                <c:pt idx="48">
                  <c:v>5.0576304147787597E-2</c:v>
                </c:pt>
                <c:pt idx="49">
                  <c:v>5.4771896416748497E-2</c:v>
                </c:pt>
                <c:pt idx="50">
                  <c:v>5.5297285884977398E-2</c:v>
                </c:pt>
                <c:pt idx="51">
                  <c:v>5.3196355592552799E-2</c:v>
                </c:pt>
                <c:pt idx="52">
                  <c:v>5.3511652375985097E-2</c:v>
                </c:pt>
                <c:pt idx="53">
                  <c:v>5.2252224220126202E-2</c:v>
                </c:pt>
                <c:pt idx="54">
                  <c:v>5.1305007775039199E-2</c:v>
                </c:pt>
                <c:pt idx="55">
                  <c:v>5.1723687586976402E-2</c:v>
                </c:pt>
                <c:pt idx="56">
                  <c:v>4.6808113470370602E-2</c:v>
                </c:pt>
                <c:pt idx="57">
                  <c:v>4.4618356484328298E-2</c:v>
                </c:pt>
                <c:pt idx="58">
                  <c:v>4.2643849045689498E-2</c:v>
                </c:pt>
                <c:pt idx="59">
                  <c:v>4.4413512128134602E-2</c:v>
                </c:pt>
                <c:pt idx="60">
                  <c:v>3.8124969611125901E-2</c:v>
                </c:pt>
                <c:pt idx="61">
                  <c:v>4.1428469912195599E-2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0B-44D1-9F27-EE0CC6FA3F87}"/>
            </c:ext>
          </c:extLst>
        </c:ser>
        <c:ser>
          <c:idx val="2"/>
          <c:order val="1"/>
          <c:tx>
            <c:strRef>
              <c:f>'5_Inflacion'!$D$26</c:f>
              <c:strCache>
                <c:ptCount val="1"/>
                <c:pt idx="0">
                  <c:v>CHILE</c:v>
                </c:pt>
              </c:strCache>
            </c:strRef>
          </c:tx>
          <c:spPr>
            <a:ln w="28440">
              <a:solidFill>
                <a:schemeClr val="accent4"/>
              </a:solidFill>
              <a:round/>
            </a:ln>
          </c:spPr>
          <c:marker>
            <c:symbol val="none"/>
          </c:marker>
          <c:cat>
            <c:numRef>
              <c:f>'5_Inflacion'!$B$27:$B$88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'5_Inflacion'!$D$27:$D$88</c:f>
              <c:numCache>
                <c:formatCode>0.00%;[Red]\(0.00%\);\-</c:formatCode>
                <c:ptCount val="62"/>
                <c:pt idx="0">
                  <c:v>2.7999999999999997E-2</c:v>
                </c:pt>
                <c:pt idx="1">
                  <c:v>2.8999999999999998E-2</c:v>
                </c:pt>
                <c:pt idx="2">
                  <c:v>3.3000000000000002E-2</c:v>
                </c:pt>
                <c:pt idx="3">
                  <c:v>3.6000000000000004E-2</c:v>
                </c:pt>
                <c:pt idx="4">
                  <c:v>3.7999999999999999E-2</c:v>
                </c:pt>
                <c:pt idx="5">
                  <c:v>4.4999999999999998E-2</c:v>
                </c:pt>
                <c:pt idx="6">
                  <c:v>4.8000000000000001E-2</c:v>
                </c:pt>
                <c:pt idx="7">
                  <c:v>5.2999999999999999E-2</c:v>
                </c:pt>
                <c:pt idx="8">
                  <c:v>0.06</c:v>
                </c:pt>
                <c:pt idx="9">
                  <c:v>6.7000000000000004E-2</c:v>
                </c:pt>
                <c:pt idx="10">
                  <c:v>7.2000000000000008E-2</c:v>
                </c:pt>
                <c:pt idx="11">
                  <c:v>7.6999999999999999E-2</c:v>
                </c:pt>
                <c:pt idx="12">
                  <c:v>7.8E-2</c:v>
                </c:pt>
                <c:pt idx="13">
                  <c:v>9.4E-2</c:v>
                </c:pt>
                <c:pt idx="14">
                  <c:v>0.105</c:v>
                </c:pt>
                <c:pt idx="15">
                  <c:v>0.115</c:v>
                </c:pt>
                <c:pt idx="16">
                  <c:v>0.125</c:v>
                </c:pt>
                <c:pt idx="17">
                  <c:v>0.13100000000000001</c:v>
                </c:pt>
                <c:pt idx="18">
                  <c:v>0.14099999999999999</c:v>
                </c:pt>
                <c:pt idx="19">
                  <c:v>0.13699999999999998</c:v>
                </c:pt>
                <c:pt idx="20">
                  <c:v>0.128</c:v>
                </c:pt>
                <c:pt idx="21">
                  <c:v>0.13300000000000001</c:v>
                </c:pt>
                <c:pt idx="22">
                  <c:v>0.128</c:v>
                </c:pt>
                <c:pt idx="23">
                  <c:v>0.12300000000000001</c:v>
                </c:pt>
                <c:pt idx="24">
                  <c:v>0.11900000000000001</c:v>
                </c:pt>
                <c:pt idx="25">
                  <c:v>0.111</c:v>
                </c:pt>
                <c:pt idx="26">
                  <c:v>9.9000000000000005E-2</c:v>
                </c:pt>
                <c:pt idx="27">
                  <c:v>8.6999999999999994E-2</c:v>
                </c:pt>
                <c:pt idx="28">
                  <c:v>7.5999999999999998E-2</c:v>
                </c:pt>
                <c:pt idx="29">
                  <c:v>6.5000000000000002E-2</c:v>
                </c:pt>
                <c:pt idx="30">
                  <c:v>5.2999999999999999E-2</c:v>
                </c:pt>
                <c:pt idx="31">
                  <c:v>5.0999999999999997E-2</c:v>
                </c:pt>
                <c:pt idx="32">
                  <c:v>0.05</c:v>
                </c:pt>
                <c:pt idx="33">
                  <c:v>4.8000000000000001E-2</c:v>
                </c:pt>
                <c:pt idx="34">
                  <c:v>3.9E-2</c:v>
                </c:pt>
                <c:pt idx="35">
                  <c:v>3.7999999999999999E-2</c:v>
                </c:pt>
                <c:pt idx="36">
                  <c:v>4.4999999999999998E-2</c:v>
                </c:pt>
                <c:pt idx="37">
                  <c:v>3.7000000000000005E-2</c:v>
                </c:pt>
                <c:pt idx="38">
                  <c:v>0.04</c:v>
                </c:pt>
                <c:pt idx="39">
                  <c:v>4.0999999999999995E-2</c:v>
                </c:pt>
                <c:pt idx="40">
                  <c:v>4.2000000000000003E-2</c:v>
                </c:pt>
                <c:pt idx="41">
                  <c:v>4.5999999999999999E-2</c:v>
                </c:pt>
                <c:pt idx="42">
                  <c:v>4.7E-2</c:v>
                </c:pt>
                <c:pt idx="43">
                  <c:v>4.0999999999999995E-2</c:v>
                </c:pt>
                <c:pt idx="44">
                  <c:v>4.7E-2</c:v>
                </c:pt>
                <c:pt idx="45">
                  <c:v>4.2000000000000003E-2</c:v>
                </c:pt>
                <c:pt idx="46">
                  <c:v>4.4999999999999998E-2</c:v>
                </c:pt>
                <c:pt idx="47">
                  <c:v>4.9000000000000002E-2</c:v>
                </c:pt>
                <c:pt idx="48">
                  <c:v>4.7E-2</c:v>
                </c:pt>
                <c:pt idx="49">
                  <c:v>4.9000000000000002E-2</c:v>
                </c:pt>
                <c:pt idx="50">
                  <c:v>4.4999999999999998E-2</c:v>
                </c:pt>
                <c:pt idx="51">
                  <c:v>4.4000000000000004E-2</c:v>
                </c:pt>
                <c:pt idx="52">
                  <c:v>4.0999999999999995E-2</c:v>
                </c:pt>
                <c:pt idx="53">
                  <c:v>4.2999999999999997E-2</c:v>
                </c:pt>
                <c:pt idx="54">
                  <c:v>0.04</c:v>
                </c:pt>
                <c:pt idx="55">
                  <c:v>4.4000000000000004E-2</c:v>
                </c:pt>
                <c:pt idx="56">
                  <c:v>3.4000000000000002E-2</c:v>
                </c:pt>
                <c:pt idx="57">
                  <c:v>3.4000000000000002E-2</c:v>
                </c:pt>
                <c:pt idx="58">
                  <c:v>3.5000000000000003E-2</c:v>
                </c:pt>
                <c:pt idx="59">
                  <c:v>2.7999999999999997E-2</c:v>
                </c:pt>
                <c:pt idx="60">
                  <c:v>2.4E-2</c:v>
                </c:pt>
                <c:pt idx="61">
                  <c:v>2.7999999999999997E-2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0B-44D1-9F27-EE0CC6FA3F87}"/>
            </c:ext>
          </c:extLst>
        </c:ser>
        <c:ser>
          <c:idx val="3"/>
          <c:order val="2"/>
          <c:tx>
            <c:strRef>
              <c:f>'5_Inflacion'!$E$26</c:f>
              <c:strCache>
                <c:ptCount val="1"/>
                <c:pt idx="0">
                  <c:v>COLOMBIA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cat>
            <c:numRef>
              <c:f>'5_Inflacion'!$B$27:$B$88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'5_Inflacion'!$E$27:$E$88</c:f>
              <c:numCache>
                <c:formatCode>0.00%;[Red]\(0.00%\);\-</c:formatCode>
                <c:ptCount val="62"/>
                <c:pt idx="0">
                  <c:v>2.5099999999999997E-2</c:v>
                </c:pt>
                <c:pt idx="1">
                  <c:v>2.58E-2</c:v>
                </c:pt>
                <c:pt idx="2">
                  <c:v>3.0600000000000002E-2</c:v>
                </c:pt>
                <c:pt idx="3">
                  <c:v>3.49E-2</c:v>
                </c:pt>
                <c:pt idx="4">
                  <c:v>3.7100000000000001E-2</c:v>
                </c:pt>
                <c:pt idx="5">
                  <c:v>3.95E-2</c:v>
                </c:pt>
                <c:pt idx="6">
                  <c:v>4.0899999999999999E-2</c:v>
                </c:pt>
                <c:pt idx="7">
                  <c:v>4.7E-2</c:v>
                </c:pt>
                <c:pt idx="8">
                  <c:v>5.2600000000000001E-2</c:v>
                </c:pt>
                <c:pt idx="9">
                  <c:v>5.57E-2</c:v>
                </c:pt>
                <c:pt idx="10">
                  <c:v>5.62E-2</c:v>
                </c:pt>
                <c:pt idx="11">
                  <c:v>6.93E-2</c:v>
                </c:pt>
                <c:pt idx="12">
                  <c:v>7.5199999999999989E-2</c:v>
                </c:pt>
                <c:pt idx="13">
                  <c:v>7.5399999999999995E-2</c:v>
                </c:pt>
                <c:pt idx="14">
                  <c:v>8.0399999999999985E-2</c:v>
                </c:pt>
                <c:pt idx="15">
                  <c:v>8.2400000000000001E-2</c:v>
                </c:pt>
                <c:pt idx="16">
                  <c:v>9.2300000000000007E-2</c:v>
                </c:pt>
                <c:pt idx="17">
                  <c:v>9.7100000000000006E-2</c:v>
                </c:pt>
                <c:pt idx="18">
                  <c:v>0.1082</c:v>
                </c:pt>
                <c:pt idx="19">
                  <c:v>0.11289999999999999</c:v>
                </c:pt>
                <c:pt idx="20">
                  <c:v>0.125</c:v>
                </c:pt>
                <c:pt idx="21">
                  <c:v>0.12839999999999999</c:v>
                </c:pt>
                <c:pt idx="22">
                  <c:v>0.13119999999999998</c:v>
                </c:pt>
                <c:pt idx="23">
                  <c:v>0.11749999999999999</c:v>
                </c:pt>
                <c:pt idx="24">
                  <c:v>0.1242</c:v>
                </c:pt>
                <c:pt idx="25">
                  <c:v>0.12039999999999999</c:v>
                </c:pt>
                <c:pt idx="26">
                  <c:v>0.11109999999999999</c:v>
                </c:pt>
                <c:pt idx="27">
                  <c:v>0.10769999999999999</c:v>
                </c:pt>
                <c:pt idx="28">
                  <c:v>0.10439999999999999</c:v>
                </c:pt>
                <c:pt idx="29">
                  <c:v>9.820000000000001E-2</c:v>
                </c:pt>
                <c:pt idx="30">
                  <c:v>9.5199999999999993E-2</c:v>
                </c:pt>
                <c:pt idx="31">
                  <c:v>9.3100000000000002E-2</c:v>
                </c:pt>
                <c:pt idx="32">
                  <c:v>9.1799999999999993E-2</c:v>
                </c:pt>
                <c:pt idx="33">
                  <c:v>9.1799999999999993E-2</c:v>
                </c:pt>
                <c:pt idx="34">
                  <c:v>9.2799999999999994E-2</c:v>
                </c:pt>
                <c:pt idx="35">
                  <c:v>6.5099999999999991E-2</c:v>
                </c:pt>
                <c:pt idx="36">
                  <c:v>7.0699999999999999E-2</c:v>
                </c:pt>
                <c:pt idx="37">
                  <c:v>7.2700000000000001E-2</c:v>
                </c:pt>
                <c:pt idx="38">
                  <c:v>7.0000000000000007E-2</c:v>
                </c:pt>
                <c:pt idx="39">
                  <c:v>6.3399999999999998E-2</c:v>
                </c:pt>
                <c:pt idx="40">
                  <c:v>6.25E-2</c:v>
                </c:pt>
                <c:pt idx="41">
                  <c:v>6.2899999999999998E-2</c:v>
                </c:pt>
                <c:pt idx="42">
                  <c:v>5.0999999999999997E-2</c:v>
                </c:pt>
                <c:pt idx="43">
                  <c:v>5.2400000000000002E-2</c:v>
                </c:pt>
                <c:pt idx="44">
                  <c:v>5.3899999999999997E-2</c:v>
                </c:pt>
                <c:pt idx="45">
                  <c:v>5.3600000000000002E-2</c:v>
                </c:pt>
                <c:pt idx="46">
                  <c:v>5.2000000000000005E-2</c:v>
                </c:pt>
                <c:pt idx="47">
                  <c:v>5.2999999999999999E-2</c:v>
                </c:pt>
                <c:pt idx="48">
                  <c:v>5.3899999999999997E-2</c:v>
                </c:pt>
                <c:pt idx="49">
                  <c:v>5.3899999999999997E-2</c:v>
                </c:pt>
                <c:pt idx="50">
                  <c:v>5.2900000000000003E-2</c:v>
                </c:pt>
                <c:pt idx="51">
                  <c:v>5.1699999999999996E-2</c:v>
                </c:pt>
                <c:pt idx="52">
                  <c:v>5.2000000000000005E-2</c:v>
                </c:pt>
                <c:pt idx="53">
                  <c:v>5.1900000000000002E-2</c:v>
                </c:pt>
                <c:pt idx="54">
                  <c:v>5.1100000000000007E-2</c:v>
                </c:pt>
                <c:pt idx="55">
                  <c:v>5.0700000000000002E-2</c:v>
                </c:pt>
                <c:pt idx="56">
                  <c:v>5.0799999999999998E-2</c:v>
                </c:pt>
                <c:pt idx="57">
                  <c:v>5.0999999999999997E-2</c:v>
                </c:pt>
                <c:pt idx="58">
                  <c:v>5.0999999999999997E-2</c:v>
                </c:pt>
                <c:pt idx="59">
                  <c:v>5.04E-2</c:v>
                </c:pt>
                <c:pt idx="60">
                  <c:v>5.2900000000000003E-2</c:v>
                </c:pt>
                <c:pt idx="61">
                  <c:v>5.5599999999999997E-2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0B-44D1-9F27-EE0CC6FA3F87}"/>
            </c:ext>
          </c:extLst>
        </c:ser>
        <c:ser>
          <c:idx val="4"/>
          <c:order val="3"/>
          <c:tx>
            <c:strRef>
              <c:f>'5_Inflacion'!$F$26</c:f>
              <c:strCache>
                <c:ptCount val="1"/>
                <c:pt idx="0">
                  <c:v>MEXICO</c:v>
                </c:pt>
              </c:strCache>
            </c:strRef>
          </c:tx>
          <c:spPr>
            <a:ln w="28440">
              <a:solidFill>
                <a:schemeClr val="accent2"/>
              </a:solidFill>
              <a:round/>
            </a:ln>
          </c:spPr>
          <c:marker>
            <c:symbol val="none"/>
          </c:marker>
          <c:cat>
            <c:numRef>
              <c:f>'5_Inflacion'!$B$27:$B$88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'5_Inflacion'!$F$27:$F$88</c:f>
              <c:numCache>
                <c:formatCode>0.00%;[Red]\(0.00%\);\-</c:formatCode>
                <c:ptCount val="62"/>
                <c:pt idx="0">
                  <c:v>3.7599999999999995E-2</c:v>
                </c:pt>
                <c:pt idx="1">
                  <c:v>4.6699999999999998E-2</c:v>
                </c:pt>
                <c:pt idx="2">
                  <c:v>6.08E-2</c:v>
                </c:pt>
                <c:pt idx="3">
                  <c:v>5.8899999999999994E-2</c:v>
                </c:pt>
                <c:pt idx="4">
                  <c:v>5.8799999999999998E-2</c:v>
                </c:pt>
                <c:pt idx="5">
                  <c:v>5.8099999999999999E-2</c:v>
                </c:pt>
                <c:pt idx="6">
                  <c:v>5.5899999999999998E-2</c:v>
                </c:pt>
                <c:pt idx="7">
                  <c:v>0.06</c:v>
                </c:pt>
                <c:pt idx="8">
                  <c:v>6.2400000000000004E-2</c:v>
                </c:pt>
                <c:pt idx="9">
                  <c:v>7.3700000000000002E-2</c:v>
                </c:pt>
                <c:pt idx="10">
                  <c:v>7.3599999999999999E-2</c:v>
                </c:pt>
                <c:pt idx="11">
                  <c:v>7.0699999999999999E-2</c:v>
                </c:pt>
                <c:pt idx="12">
                  <c:v>7.2800000000000004E-2</c:v>
                </c:pt>
                <c:pt idx="13">
                  <c:v>7.4499999999999997E-2</c:v>
                </c:pt>
                <c:pt idx="14">
                  <c:v>7.6799999999999993E-2</c:v>
                </c:pt>
                <c:pt idx="15">
                  <c:v>7.6499999999999999E-2</c:v>
                </c:pt>
                <c:pt idx="16">
                  <c:v>7.9899999999999999E-2</c:v>
                </c:pt>
                <c:pt idx="17">
                  <c:v>8.1500000000000003E-2</c:v>
                </c:pt>
                <c:pt idx="18">
                  <c:v>8.6999999999999994E-2</c:v>
                </c:pt>
                <c:pt idx="19">
                  <c:v>8.6999999999999994E-2</c:v>
                </c:pt>
                <c:pt idx="20">
                  <c:v>8.4100000000000008E-2</c:v>
                </c:pt>
                <c:pt idx="21">
                  <c:v>7.8E-2</c:v>
                </c:pt>
                <c:pt idx="22">
                  <c:v>7.8200000000000006E-2</c:v>
                </c:pt>
                <c:pt idx="23">
                  <c:v>7.9100000000000004E-2</c:v>
                </c:pt>
                <c:pt idx="24">
                  <c:v>7.6200000000000004E-2</c:v>
                </c:pt>
                <c:pt idx="25">
                  <c:v>6.8499999999999991E-2</c:v>
                </c:pt>
                <c:pt idx="26">
                  <c:v>6.25E-2</c:v>
                </c:pt>
                <c:pt idx="27">
                  <c:v>5.8400000000000001E-2</c:v>
                </c:pt>
                <c:pt idx="28">
                  <c:v>5.0599999999999999E-2</c:v>
                </c:pt>
                <c:pt idx="29">
                  <c:v>4.7899999999999998E-2</c:v>
                </c:pt>
                <c:pt idx="30">
                  <c:v>4.6399999999999997E-2</c:v>
                </c:pt>
                <c:pt idx="31">
                  <c:v>4.4500000000000005E-2</c:v>
                </c:pt>
                <c:pt idx="32">
                  <c:v>4.2599999999999999E-2</c:v>
                </c:pt>
                <c:pt idx="33">
                  <c:v>4.3200000000000002E-2</c:v>
                </c:pt>
                <c:pt idx="34">
                  <c:v>4.6600000000000003E-2</c:v>
                </c:pt>
                <c:pt idx="35">
                  <c:v>4.8799999999999996E-2</c:v>
                </c:pt>
                <c:pt idx="36">
                  <c:v>4.4000000000000004E-2</c:v>
                </c:pt>
                <c:pt idx="37">
                  <c:v>4.4199999999999996E-2</c:v>
                </c:pt>
                <c:pt idx="38">
                  <c:v>4.6500000000000007E-2</c:v>
                </c:pt>
                <c:pt idx="39">
                  <c:v>4.6900000000000004E-2</c:v>
                </c:pt>
                <c:pt idx="40">
                  <c:v>4.9800000000000004E-2</c:v>
                </c:pt>
                <c:pt idx="41">
                  <c:v>5.57E-2</c:v>
                </c:pt>
                <c:pt idx="42">
                  <c:v>4.99E-2</c:v>
                </c:pt>
                <c:pt idx="43">
                  <c:v>4.58E-2</c:v>
                </c:pt>
                <c:pt idx="44">
                  <c:v>4.7599999999999996E-2</c:v>
                </c:pt>
                <c:pt idx="45">
                  <c:v>4.5499999999999999E-2</c:v>
                </c:pt>
                <c:pt idx="46">
                  <c:v>4.2099999999999999E-2</c:v>
                </c:pt>
                <c:pt idx="47">
                  <c:v>3.5900000000000001E-2</c:v>
                </c:pt>
                <c:pt idx="48">
                  <c:v>3.7699999999999997E-2</c:v>
                </c:pt>
                <c:pt idx="49">
                  <c:v>3.7999999999999999E-2</c:v>
                </c:pt>
                <c:pt idx="50">
                  <c:v>3.9300000000000002E-2</c:v>
                </c:pt>
                <c:pt idx="51">
                  <c:v>4.4199999999999996E-2</c:v>
                </c:pt>
                <c:pt idx="52">
                  <c:v>4.3200000000000002E-2</c:v>
                </c:pt>
                <c:pt idx="53">
                  <c:v>3.5099999999999999E-2</c:v>
                </c:pt>
                <c:pt idx="54">
                  <c:v>3.5699999999999996E-2</c:v>
                </c:pt>
                <c:pt idx="55">
                  <c:v>3.7599999999999995E-2</c:v>
                </c:pt>
                <c:pt idx="56">
                  <c:v>3.5699999999999996E-2</c:v>
                </c:pt>
                <c:pt idx="57">
                  <c:v>3.7999999999999999E-2</c:v>
                </c:pt>
                <c:pt idx="58">
                  <c:v>3.6900000000000002E-2</c:v>
                </c:pt>
                <c:pt idx="59">
                  <c:v>3.7900000000000003E-2</c:v>
                </c:pt>
                <c:pt idx="60">
                  <c:v>4.0199999999999993E-2</c:v>
                </c:pt>
                <c:pt idx="61">
                  <c:v>4.5899999999999996E-2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0B-44D1-9F27-EE0CC6FA3F87}"/>
            </c:ext>
          </c:extLst>
        </c:ser>
        <c:ser>
          <c:idx val="5"/>
          <c:order val="4"/>
          <c:tx>
            <c:strRef>
              <c:f>'5_Inflacion'!$G$26</c:f>
              <c:strCache>
                <c:ptCount val="1"/>
                <c:pt idx="0">
                  <c:v>PERU</c:v>
                </c:pt>
              </c:strCache>
            </c:strRef>
          </c:tx>
          <c:spPr>
            <a:ln w="28440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numRef>
              <c:f>'5_Inflacion'!$B$27:$B$88</c:f>
              <c:numCache>
                <c:formatCode>mmm\-yy</c:formatCode>
                <c:ptCount val="6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</c:numCache>
            </c:numRef>
          </c:cat>
          <c:val>
            <c:numRef>
              <c:f>'5_Inflacion'!$G$27:$G$88</c:f>
              <c:numCache>
                <c:formatCode>0.00%;[Red]\(0.00%\);\-</c:formatCode>
                <c:ptCount val="62"/>
                <c:pt idx="0">
                  <c:v>2.4046793760831998E-2</c:v>
                </c:pt>
                <c:pt idx="1">
                  <c:v>2.59362892811019E-2</c:v>
                </c:pt>
                <c:pt idx="2">
                  <c:v>2.3868401247177699E-2</c:v>
                </c:pt>
                <c:pt idx="3">
                  <c:v>2.4570815450643699E-2</c:v>
                </c:pt>
                <c:pt idx="4">
                  <c:v>3.2487091222031202E-2</c:v>
                </c:pt>
                <c:pt idx="5">
                  <c:v>3.8119713031373702E-2</c:v>
                </c:pt>
                <c:pt idx="6">
                  <c:v>4.9528301886792497E-2</c:v>
                </c:pt>
                <c:pt idx="7">
                  <c:v>5.2349855475858999E-2</c:v>
                </c:pt>
                <c:pt idx="8">
                  <c:v>5.8225409397409701E-2</c:v>
                </c:pt>
                <c:pt idx="9">
                  <c:v>5.6543499094878102E-2</c:v>
                </c:pt>
                <c:pt idx="10">
                  <c:v>6.4282673478075897E-2</c:v>
                </c:pt>
                <c:pt idx="11">
                  <c:v>5.6834988379463401E-2</c:v>
                </c:pt>
                <c:pt idx="12">
                  <c:v>6.1455468584726003E-2</c:v>
                </c:pt>
                <c:pt idx="13">
                  <c:v>6.82891010175182E-2</c:v>
                </c:pt>
                <c:pt idx="14">
                  <c:v>7.9701774650845297E-2</c:v>
                </c:pt>
                <c:pt idx="15">
                  <c:v>8.08461619017697E-2</c:v>
                </c:pt>
                <c:pt idx="16">
                  <c:v>8.8143363200666694E-2</c:v>
                </c:pt>
                <c:pt idx="17">
                  <c:v>8.7364620938628096E-2</c:v>
                </c:pt>
                <c:pt idx="18">
                  <c:v>8.4065372829417603E-2</c:v>
                </c:pt>
                <c:pt idx="19">
                  <c:v>8.5249237029501698E-2</c:v>
                </c:pt>
                <c:pt idx="20">
                  <c:v>8.2734904419945299E-2</c:v>
                </c:pt>
                <c:pt idx="21">
                  <c:v>8.4458778472082302E-2</c:v>
                </c:pt>
                <c:pt idx="22">
                  <c:v>8.4599999999999995E-2</c:v>
                </c:pt>
                <c:pt idx="23">
                  <c:v>8.6565373850459704E-2</c:v>
                </c:pt>
                <c:pt idx="24">
                  <c:v>8.6397608370702497E-2</c:v>
                </c:pt>
                <c:pt idx="25">
                  <c:v>8.3955223880596994E-2</c:v>
                </c:pt>
                <c:pt idx="26">
                  <c:v>7.9653763859171403E-2</c:v>
                </c:pt>
                <c:pt idx="27">
                  <c:v>7.8965216548784203E-2</c:v>
                </c:pt>
                <c:pt idx="28">
                  <c:v>6.4630409804672606E-2</c:v>
                </c:pt>
                <c:pt idx="29">
                  <c:v>5.8812369569341702E-2</c:v>
                </c:pt>
                <c:pt idx="30">
                  <c:v>5.56864223122586E-2</c:v>
                </c:pt>
                <c:pt idx="31">
                  <c:v>5.0431196100487297E-2</c:v>
                </c:pt>
                <c:pt idx="32">
                  <c:v>4.3437645959832002E-2</c:v>
                </c:pt>
                <c:pt idx="33">
                  <c:v>3.64312267657994E-2</c:v>
                </c:pt>
                <c:pt idx="34">
                  <c:v>3.2362161165406599E-2</c:v>
                </c:pt>
                <c:pt idx="35">
                  <c:v>3.0266789328426798E-2</c:v>
                </c:pt>
                <c:pt idx="36">
                  <c:v>3.30214639515687E-2</c:v>
                </c:pt>
                <c:pt idx="37">
                  <c:v>3.0437539632213E-2</c:v>
                </c:pt>
                <c:pt idx="38">
                  <c:v>2.41419691919647E-2</c:v>
                </c:pt>
                <c:pt idx="39">
                  <c:v>2.0025143678160901E-2</c:v>
                </c:pt>
                <c:pt idx="40">
                  <c:v>2.2843780915550001E-2</c:v>
                </c:pt>
                <c:pt idx="41">
                  <c:v>2.1322343666009699E-2</c:v>
                </c:pt>
                <c:pt idx="42">
                  <c:v>2.0349875044626702E-2</c:v>
                </c:pt>
                <c:pt idx="43">
                  <c:v>1.7758343744422599E-2</c:v>
                </c:pt>
                <c:pt idx="44">
                  <c:v>2.00537153088629E-2</c:v>
                </c:pt>
                <c:pt idx="45">
                  <c:v>2.2686513629842201E-2</c:v>
                </c:pt>
                <c:pt idx="46">
                  <c:v>1.9648120032151401E-2</c:v>
                </c:pt>
                <c:pt idx="47">
                  <c:v>1.8573086882757401E-2</c:v>
                </c:pt>
                <c:pt idx="48">
                  <c:v>1.47398330669508E-2</c:v>
                </c:pt>
                <c:pt idx="49">
                  <c:v>1.28351648351648E-2</c:v>
                </c:pt>
                <c:pt idx="50">
                  <c:v>1.65361949159997E-2</c:v>
                </c:pt>
                <c:pt idx="51">
                  <c:v>1.6902896381723698E-2</c:v>
                </c:pt>
                <c:pt idx="52">
                  <c:v>1.69700167062341E-2</c:v>
                </c:pt>
                <c:pt idx="53">
                  <c:v>1.6842105263157998E-2</c:v>
                </c:pt>
                <c:pt idx="54">
                  <c:v>1.1109167249825099E-2</c:v>
                </c:pt>
                <c:pt idx="55">
                  <c:v>1.35905304690924E-2</c:v>
                </c:pt>
                <c:pt idx="56">
                  <c:v>1.35158855538002E-2</c:v>
                </c:pt>
                <c:pt idx="57">
                  <c:v>1.36782113108287E-2</c:v>
                </c:pt>
                <c:pt idx="58">
                  <c:v>1.5065253569238801E-2</c:v>
                </c:pt>
                <c:pt idx="59">
                  <c:v>1.7007100902954399E-2</c:v>
                </c:pt>
                <c:pt idx="60">
                  <c:v>2.2138606930346399E-2</c:v>
                </c:pt>
                <c:pt idx="61">
                  <c:v>3.8017533200243002E-2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80B-44D1-9F27-EE0CC6FA3F87}"/>
            </c:ext>
          </c:extLst>
        </c:ser>
        <c:ser>
          <c:idx val="0"/>
          <c:order val="5"/>
          <c:tx>
            <c:strRef>
              <c:f>'5_Inflacion'!$H$26</c:f>
              <c:strCache>
                <c:ptCount val="1"/>
                <c:pt idx="0">
                  <c:v>Estados Unidos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'5_Inflacion'!$B$27:$B$94</c:f>
              <c:numCache>
                <c:formatCode>mmm\-yy</c:formatCode>
                <c:ptCount val="68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  <c:pt idx="32">
                  <c:v>45200</c:v>
                </c:pt>
                <c:pt idx="33">
                  <c:v>45231</c:v>
                </c:pt>
                <c:pt idx="34">
                  <c:v>45261</c:v>
                </c:pt>
                <c:pt idx="35">
                  <c:v>45292</c:v>
                </c:pt>
                <c:pt idx="36">
                  <c:v>45323</c:v>
                </c:pt>
                <c:pt idx="37">
                  <c:v>45352</c:v>
                </c:pt>
                <c:pt idx="38">
                  <c:v>45383</c:v>
                </c:pt>
                <c:pt idx="39">
                  <c:v>45413</c:v>
                </c:pt>
                <c:pt idx="40">
                  <c:v>45444</c:v>
                </c:pt>
                <c:pt idx="41">
                  <c:v>45474</c:v>
                </c:pt>
                <c:pt idx="42">
                  <c:v>45505</c:v>
                </c:pt>
                <c:pt idx="43">
                  <c:v>45536</c:v>
                </c:pt>
                <c:pt idx="44">
                  <c:v>45566</c:v>
                </c:pt>
                <c:pt idx="45">
                  <c:v>45597</c:v>
                </c:pt>
                <c:pt idx="46">
                  <c:v>45627</c:v>
                </c:pt>
                <c:pt idx="47">
                  <c:v>45658</c:v>
                </c:pt>
                <c:pt idx="48">
                  <c:v>45689</c:v>
                </c:pt>
                <c:pt idx="49">
                  <c:v>45717</c:v>
                </c:pt>
                <c:pt idx="50">
                  <c:v>45748</c:v>
                </c:pt>
                <c:pt idx="51">
                  <c:v>45778</c:v>
                </c:pt>
                <c:pt idx="52">
                  <c:v>45809</c:v>
                </c:pt>
                <c:pt idx="53">
                  <c:v>45839</c:v>
                </c:pt>
                <c:pt idx="54">
                  <c:v>45870</c:v>
                </c:pt>
                <c:pt idx="55">
                  <c:v>45901</c:v>
                </c:pt>
                <c:pt idx="56">
                  <c:v>45931</c:v>
                </c:pt>
                <c:pt idx="57">
                  <c:v>45962</c:v>
                </c:pt>
                <c:pt idx="58">
                  <c:v>45992</c:v>
                </c:pt>
                <c:pt idx="59">
                  <c:v>46023</c:v>
                </c:pt>
                <c:pt idx="60">
                  <c:v>46054</c:v>
                </c:pt>
                <c:pt idx="61">
                  <c:v>46082</c:v>
                </c:pt>
                <c:pt idx="62">
                  <c:v>46113</c:v>
                </c:pt>
                <c:pt idx="63">
                  <c:v>46173</c:v>
                </c:pt>
                <c:pt idx="64">
                  <c:v>46203</c:v>
                </c:pt>
                <c:pt idx="65">
                  <c:v>46234</c:v>
                </c:pt>
                <c:pt idx="66">
                  <c:v>46265</c:v>
                </c:pt>
                <c:pt idx="67">
                  <c:v>46295</c:v>
                </c:pt>
              </c:numCache>
            </c:numRef>
          </c:cat>
          <c:val>
            <c:numRef>
              <c:f>'5_Inflacion'!$H$27:$H$94</c:f>
              <c:numCache>
                <c:formatCode>0.00%;[Red]\(0.00%\);\-</c:formatCode>
                <c:ptCount val="68"/>
                <c:pt idx="0">
                  <c:v>1.66982E-2</c:v>
                </c:pt>
                <c:pt idx="1">
                  <c:v>2.6678199999999999E-2</c:v>
                </c:pt>
                <c:pt idx="2">
                  <c:v>4.1330799999999994E-2</c:v>
                </c:pt>
                <c:pt idx="3">
                  <c:v>4.91826E-2</c:v>
                </c:pt>
                <c:pt idx="4">
                  <c:v>5.2956299999999998E-2</c:v>
                </c:pt>
                <c:pt idx="5">
                  <c:v>5.2451699999999997E-2</c:v>
                </c:pt>
                <c:pt idx="6">
                  <c:v>5.1520200000000002E-2</c:v>
                </c:pt>
                <c:pt idx="7">
                  <c:v>5.3512199999999996E-2</c:v>
                </c:pt>
                <c:pt idx="8">
                  <c:v>6.23504E-2</c:v>
                </c:pt>
                <c:pt idx="9">
                  <c:v>6.9019700000000003E-2</c:v>
                </c:pt>
                <c:pt idx="10">
                  <c:v>7.1743399999999999E-2</c:v>
                </c:pt>
                <c:pt idx="11">
                  <c:v>7.5588100000000005E-2</c:v>
                </c:pt>
                <c:pt idx="12">
                  <c:v>7.9372800000000007E-2</c:v>
                </c:pt>
                <c:pt idx="13">
                  <c:v>8.5722000000000007E-2</c:v>
                </c:pt>
                <c:pt idx="14">
                  <c:v>8.2317500000000002E-2</c:v>
                </c:pt>
                <c:pt idx="15">
                  <c:v>8.5381699999999991E-2</c:v>
                </c:pt>
                <c:pt idx="16">
                  <c:v>8.9793600000000001E-2</c:v>
                </c:pt>
                <c:pt idx="17">
                  <c:v>8.4625800000000015E-2</c:v>
                </c:pt>
                <c:pt idx="18">
                  <c:v>8.2225800000000002E-2</c:v>
                </c:pt>
                <c:pt idx="19">
                  <c:v>8.1921099999999997E-2</c:v>
                </c:pt>
                <c:pt idx="20">
                  <c:v>7.7588100000000007E-2</c:v>
                </c:pt>
                <c:pt idx="21">
                  <c:v>7.1228600000000003E-2</c:v>
                </c:pt>
                <c:pt idx="22">
                  <c:v>6.4046000000000006E-2</c:v>
                </c:pt>
                <c:pt idx="23">
                  <c:v>6.3271800000000003E-2</c:v>
                </c:pt>
                <c:pt idx="24">
                  <c:v>5.9578199999999998E-2</c:v>
                </c:pt>
                <c:pt idx="25">
                  <c:v>4.9177200000000004E-2</c:v>
                </c:pt>
                <c:pt idx="26">
                  <c:v>4.9500799999999998E-2</c:v>
                </c:pt>
                <c:pt idx="27">
                  <c:v>4.1318500000000001E-2</c:v>
                </c:pt>
                <c:pt idx="28">
                  <c:v>3.0706199999999999E-2</c:v>
                </c:pt>
                <c:pt idx="29">
                  <c:v>3.2877499999999997E-2</c:v>
                </c:pt>
                <c:pt idx="30">
                  <c:v>3.7225000000000001E-2</c:v>
                </c:pt>
                <c:pt idx="31">
                  <c:v>3.6872099999999998E-2</c:v>
                </c:pt>
                <c:pt idx="32">
                  <c:v>3.2512699999999999E-2</c:v>
                </c:pt>
                <c:pt idx="33">
                  <c:v>3.13335E-2</c:v>
                </c:pt>
                <c:pt idx="34">
                  <c:v>3.3159100000000004E-2</c:v>
                </c:pt>
                <c:pt idx="35">
                  <c:v>3.0883400000000002E-2</c:v>
                </c:pt>
                <c:pt idx="36">
                  <c:v>3.15707E-2</c:v>
                </c:pt>
                <c:pt idx="37">
                  <c:v>3.4868299999999998E-2</c:v>
                </c:pt>
                <c:pt idx="38">
                  <c:v>3.3607999999999999E-2</c:v>
                </c:pt>
                <c:pt idx="39">
                  <c:v>3.2442800000000001E-2</c:v>
                </c:pt>
                <c:pt idx="40">
                  <c:v>2.9702600000000003E-2</c:v>
                </c:pt>
                <c:pt idx="41">
                  <c:v>2.9414799999999998E-2</c:v>
                </c:pt>
                <c:pt idx="42">
                  <c:v>2.6071399999999998E-2</c:v>
                </c:pt>
                <c:pt idx="43">
                  <c:v>2.4264800000000003E-2</c:v>
                </c:pt>
                <c:pt idx="44">
                  <c:v>2.57884E-2</c:v>
                </c:pt>
                <c:pt idx="45">
                  <c:v>2.7194699999999999E-2</c:v>
                </c:pt>
                <c:pt idx="46">
                  <c:v>2.87069E-2</c:v>
                </c:pt>
                <c:pt idx="47">
                  <c:v>2.99098E-2</c:v>
                </c:pt>
                <c:pt idx="48">
                  <c:v>2.80158E-2</c:v>
                </c:pt>
                <c:pt idx="49">
                  <c:v>2.3819799999999999E-2</c:v>
                </c:pt>
                <c:pt idx="50">
                  <c:v>2.3253900000000001E-2</c:v>
                </c:pt>
                <c:pt idx="51">
                  <c:v>2.3772700000000001E-2</c:v>
                </c:pt>
                <c:pt idx="52">
                  <c:v>2.6804499999999998E-2</c:v>
                </c:pt>
                <c:pt idx="53">
                  <c:v>2.7426200000000001E-2</c:v>
                </c:pt>
                <c:pt idx="54">
                  <c:v>2.93859E-2</c:v>
                </c:pt>
                <c:pt idx="55">
                  <c:v>3.0225700000000001E-2</c:v>
                </c:pt>
                <c:pt idx="56">
                  <c:v>3.0225700000000001E-2</c:v>
                </c:pt>
                <c:pt idx="57">
                  <c:v>2.6964399999999999E-2</c:v>
                </c:pt>
                <c:pt idx="58">
                  <c:v>2.6533000000000001E-2</c:v>
                </c:pt>
                <c:pt idx="59">
                  <c:v>2.3911999999999999E-2</c:v>
                </c:pt>
                <c:pt idx="60">
                  <c:v>2.4340000000000001E-2</c:v>
                </c:pt>
                <c:pt idx="61">
                  <c:v>3.2859600000000003E-2</c:v>
                </c:pt>
                <c:pt idx="62">
                  <c:v>3.77925E-2</c:v>
                </c:pt>
                <c:pt idx="63">
                  <c:v>4.1666100000000005E-2</c:v>
                </c:pt>
                <c:pt idx="64">
                  <c:v>3.4635300000000001E-2</c:v>
                </c:pt>
                <c:pt idx="65">
                  <c:v>3.3038600000000001E-2</c:v>
                </c:pt>
                <c:pt idx="66">
                  <c:v>3.4000000000000002E-2</c:v>
                </c:pt>
                <c:pt idx="67">
                  <c:v>3.6999999999999998E-2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0B-44D1-9F27-EE0CC6FA3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412607"/>
        <c:axId val="673732559"/>
      </c:lineChart>
      <c:catAx>
        <c:axId val="59841260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endParaRPr lang="es-CO"/>
          </a:p>
        </c:txPr>
        <c:crossAx val="673732559"/>
        <c:crosses val="autoZero"/>
        <c:auto val="1"/>
        <c:lblAlgn val="ctr"/>
        <c:lblOffset val="100"/>
        <c:noMultiLvlLbl val="0"/>
      </c:catAx>
      <c:valAx>
        <c:axId val="6737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;[Red]\(0.00%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endParaRPr lang="es-CO"/>
          </a:p>
        </c:txPr>
        <c:crossAx val="59841260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/>
            </a:pPr>
            <a:r>
              <a:rPr lang="es-CO" sz="1800"/>
              <a:t>ANTAD México — Same-Store Sales (Tiendas Iguales)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'6_ANTAD'!$C$6</c:f>
              <c:strCache>
                <c:ptCount val="1"/>
                <c:pt idx="0">
                  <c:v>OVERALL</c:v>
                </c:pt>
              </c:strCache>
            </c:strRef>
          </c:tx>
          <c:spPr>
            <a:ln w="28440">
              <a:solidFill>
                <a:schemeClr val="accent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'6_ANTAD'!$B$7:$B$69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'6_ANTAD'!$C$7:$C$69</c:f>
              <c:numCache>
                <c:formatCode>0.00%;[Red]\(0.00%\);\-</c:formatCode>
                <c:ptCount val="63"/>
                <c:pt idx="0">
                  <c:v>-7.0000000000000007E-2</c:v>
                </c:pt>
                <c:pt idx="1">
                  <c:v>-0.08</c:v>
                </c:pt>
                <c:pt idx="2">
                  <c:v>0.06</c:v>
                </c:pt>
                <c:pt idx="3">
                  <c:v>0.47</c:v>
                </c:pt>
                <c:pt idx="4">
                  <c:v>0.27</c:v>
                </c:pt>
                <c:pt idx="5">
                  <c:v>0.21</c:v>
                </c:pt>
                <c:pt idx="6">
                  <c:v>0.15</c:v>
                </c:pt>
                <c:pt idx="7">
                  <c:v>0.05</c:v>
                </c:pt>
                <c:pt idx="8">
                  <c:v>0.11</c:v>
                </c:pt>
                <c:pt idx="9">
                  <c:v>0.11</c:v>
                </c:pt>
                <c:pt idx="10">
                  <c:v>0.09</c:v>
                </c:pt>
                <c:pt idx="11">
                  <c:v>0.12</c:v>
                </c:pt>
                <c:pt idx="12">
                  <c:v>0.21</c:v>
                </c:pt>
                <c:pt idx="13">
                  <c:v>0.11</c:v>
                </c:pt>
                <c:pt idx="14">
                  <c:v>0.09</c:v>
                </c:pt>
                <c:pt idx="15">
                  <c:v>0.14000000000000001</c:v>
                </c:pt>
                <c:pt idx="16">
                  <c:v>0.11</c:v>
                </c:pt>
                <c:pt idx="17">
                  <c:v>0.08</c:v>
                </c:pt>
                <c:pt idx="18">
                  <c:v>0.12</c:v>
                </c:pt>
                <c:pt idx="19">
                  <c:v>0.12</c:v>
                </c:pt>
                <c:pt idx="20">
                  <c:v>0.08</c:v>
                </c:pt>
                <c:pt idx="21">
                  <c:v>0.1</c:v>
                </c:pt>
                <c:pt idx="22">
                  <c:v>0.06</c:v>
                </c:pt>
                <c:pt idx="23">
                  <c:v>0.1</c:v>
                </c:pt>
                <c:pt idx="24">
                  <c:v>0.11</c:v>
                </c:pt>
                <c:pt idx="25">
                  <c:v>7.0000000000000007E-2</c:v>
                </c:pt>
                <c:pt idx="26">
                  <c:v>0.04</c:v>
                </c:pt>
                <c:pt idx="27">
                  <c:v>0.01</c:v>
                </c:pt>
                <c:pt idx="28">
                  <c:v>0.06</c:v>
                </c:pt>
                <c:pt idx="29">
                  <c:v>0.05</c:v>
                </c:pt>
                <c:pt idx="30">
                  <c:v>0.09</c:v>
                </c:pt>
                <c:pt idx="31">
                  <c:v>0.03</c:v>
                </c:pt>
                <c:pt idx="32">
                  <c:v>0.05</c:v>
                </c:pt>
                <c:pt idx="33">
                  <c:v>0.04</c:v>
                </c:pt>
                <c:pt idx="34">
                  <c:v>0.05</c:v>
                </c:pt>
                <c:pt idx="35">
                  <c:v>0.03</c:v>
                </c:pt>
                <c:pt idx="36">
                  <c:v>0.05</c:v>
                </c:pt>
                <c:pt idx="37">
                  <c:v>0.09</c:v>
                </c:pt>
                <c:pt idx="38">
                  <c:v>0.01</c:v>
                </c:pt>
                <c:pt idx="39">
                  <c:v>5.0000000000000001E-3</c:v>
                </c:pt>
                <c:pt idx="40">
                  <c:v>0.04</c:v>
                </c:pt>
                <c:pt idx="41">
                  <c:v>0.08</c:v>
                </c:pt>
                <c:pt idx="42">
                  <c:v>0.05</c:v>
                </c:pt>
                <c:pt idx="43">
                  <c:v>0.04</c:v>
                </c:pt>
                <c:pt idx="44">
                  <c:v>0.02</c:v>
                </c:pt>
                <c:pt idx="45">
                  <c:v>0.02</c:v>
                </c:pt>
                <c:pt idx="46">
                  <c:v>0.04</c:v>
                </c:pt>
                <c:pt idx="47">
                  <c:v>0.01</c:v>
                </c:pt>
                <c:pt idx="48">
                  <c:v>0.01</c:v>
                </c:pt>
                <c:pt idx="49">
                  <c:v>-0.02</c:v>
                </c:pt>
                <c:pt idx="50">
                  <c:v>0.03</c:v>
                </c:pt>
                <c:pt idx="51">
                  <c:v>0.1</c:v>
                </c:pt>
                <c:pt idx="52">
                  <c:v>0.04</c:v>
                </c:pt>
                <c:pt idx="53">
                  <c:v>0.03</c:v>
                </c:pt>
                <c:pt idx="54">
                  <c:v>0.08</c:v>
                </c:pt>
                <c:pt idx="55">
                  <c:v>0.03</c:v>
                </c:pt>
                <c:pt idx="56">
                  <c:v>0.01</c:v>
                </c:pt>
                <c:pt idx="57">
                  <c:v>7.0000000000000007E-2</c:v>
                </c:pt>
                <c:pt idx="58">
                  <c:v>4.2000000000000003E-2</c:v>
                </c:pt>
                <c:pt idx="59">
                  <c:v>5.5E-2</c:v>
                </c:pt>
                <c:pt idx="60">
                  <c:v>3.4000000000000002E-2</c:v>
                </c:pt>
                <c:pt idx="61">
                  <c:v>1.0999999999999999E-2</c:v>
                </c:pt>
                <c:pt idx="62">
                  <c:v>1.7000000000000001E-2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95-4CAA-AD08-AA494B31C0F1}"/>
            </c:ext>
          </c:extLst>
        </c:ser>
        <c:ser>
          <c:idx val="1"/>
          <c:order val="1"/>
          <c:tx>
            <c:strRef>
              <c:f>'6_ANTAD'!$D$6</c:f>
              <c:strCache>
                <c:ptCount val="1"/>
                <c:pt idx="0">
                  <c:v>AUTOSERVICIO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'6_ANTAD'!$B$7:$B$69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'6_ANTAD'!$D$7:$D$69</c:f>
              <c:numCache>
                <c:formatCode>0.00%;[Red]\(0.00%\);\-</c:formatCode>
                <c:ptCount val="6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695-4CAA-AD08-AA494B31C0F1}"/>
            </c:ext>
          </c:extLst>
        </c:ser>
        <c:ser>
          <c:idx val="2"/>
          <c:order val="2"/>
          <c:tx>
            <c:strRef>
              <c:f>'6_ANTAD'!$E$6</c:f>
              <c:strCache>
                <c:ptCount val="1"/>
                <c:pt idx="0">
                  <c:v>DEPARTAMENTAL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'6_ANTAD'!$B$7:$B$69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'6_ANTAD'!$E$7:$E$69</c:f>
              <c:numCache>
                <c:formatCode>0.00%;[Red]\(0.00%\);\-</c:formatCode>
                <c:ptCount val="6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695-4CAA-AD08-AA494B31C0F1}"/>
            </c:ext>
          </c:extLst>
        </c:ser>
        <c:ser>
          <c:idx val="3"/>
          <c:order val="3"/>
          <c:tx>
            <c:strRef>
              <c:f>'6_ANTAD'!$F$6</c:f>
              <c:strCache>
                <c:ptCount val="1"/>
                <c:pt idx="0">
                  <c:v>ESPECIALIZADAS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'6_ANTAD'!$B$7:$B$69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'6_ANTAD'!$F$7:$F$69</c:f>
              <c:numCache>
                <c:formatCode>0.00%;[Red]\(0.00%\);\-</c:formatCode>
                <c:ptCount val="6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695-4CAA-AD08-AA494B31C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70746"/>
        <c:axId val="55147621"/>
      </c:lineChart>
      <c:dateAx>
        <c:axId val="637074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55147621"/>
        <c:crosses val="autoZero"/>
        <c:auto val="1"/>
        <c:lblOffset val="100"/>
        <c:baseTimeUnit val="months"/>
      </c:dateAx>
      <c:valAx>
        <c:axId val="5514762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CO"/>
                  <a:t>% YoY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63707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accent4"/>
      </a:solidFill>
      <a:round/>
    </a:ln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r>
              <a:rPr lang="es-CO" sz="1800" b="1">
                <a:solidFill>
                  <a:schemeClr val="accent5"/>
                </a:solidFill>
              </a:rPr>
              <a:t>TPM</a:t>
            </a:r>
            <a:r>
              <a:rPr lang="es-CO" sz="1800" b="1" baseline="0">
                <a:solidFill>
                  <a:schemeClr val="accent5"/>
                </a:solidFill>
              </a:rPr>
              <a:t> LATAM - USA</a:t>
            </a:r>
            <a:endParaRPr lang="es-CO" sz="1800" b="1">
              <a:solidFill>
                <a:schemeClr val="accent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ura Sans" pitchFamily="50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'7_TPM''s'!$C$5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rgbClr val="51C599"/>
              </a:solidFill>
              <a:round/>
            </a:ln>
            <a:effectLst/>
          </c:spPr>
          <c:marker>
            <c:symbol val="none"/>
          </c:marker>
          <c:cat>
            <c:numRef>
              <c:f>'7_TPM''s'!$B$6:$B$86</c:f>
              <c:numCache>
                <c:formatCode>mmm\-yy</c:formatCode>
                <c:ptCount val="81"/>
                <c:pt idx="0">
                  <c:v>43831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  <c:pt idx="71">
                  <c:v>46022</c:v>
                </c:pt>
                <c:pt idx="72">
                  <c:v>46053</c:v>
                </c:pt>
                <c:pt idx="73">
                  <c:v>46081</c:v>
                </c:pt>
                <c:pt idx="74">
                  <c:v>46112</c:v>
                </c:pt>
                <c:pt idx="75">
                  <c:v>46142</c:v>
                </c:pt>
                <c:pt idx="76">
                  <c:v>46173</c:v>
                </c:pt>
                <c:pt idx="77">
                  <c:v>46203</c:v>
                </c:pt>
                <c:pt idx="78">
                  <c:v>46234</c:v>
                </c:pt>
                <c:pt idx="79">
                  <c:v>46265</c:v>
                </c:pt>
                <c:pt idx="80">
                  <c:v>46295</c:v>
                </c:pt>
              </c:numCache>
            </c:numRef>
          </c:cat>
          <c:val>
            <c:numRef>
              <c:f>'7_TPM''s'!$C$6:$C$86</c:f>
              <c:numCache>
                <c:formatCode>0.00%</c:formatCode>
                <c:ptCount val="81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4.4999999999999998E-2</c:v>
                </c:pt>
                <c:pt idx="5">
                  <c:v>4.2500000000000003E-2</c:v>
                </c:pt>
                <c:pt idx="6">
                  <c:v>3.7499999999999999E-2</c:v>
                </c:pt>
                <c:pt idx="7">
                  <c:v>0.03</c:v>
                </c:pt>
                <c:pt idx="8">
                  <c:v>2.2499999999999999E-2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2.75E-2</c:v>
                </c:pt>
                <c:pt idx="19">
                  <c:v>3.5000000000000003E-2</c:v>
                </c:pt>
                <c:pt idx="20">
                  <c:v>4.2500000000000003E-2</c:v>
                </c:pt>
                <c:pt idx="21">
                  <c:v>5.2499999999999998E-2</c:v>
                </c:pt>
                <c:pt idx="22">
                  <c:v>6.25E-2</c:v>
                </c:pt>
                <c:pt idx="23">
                  <c:v>7.7499999999999999E-2</c:v>
                </c:pt>
                <c:pt idx="24">
                  <c:v>9.2499999999999999E-2</c:v>
                </c:pt>
                <c:pt idx="25">
                  <c:v>0.1075</c:v>
                </c:pt>
                <c:pt idx="26">
                  <c:v>0.11749999999999999</c:v>
                </c:pt>
                <c:pt idx="27">
                  <c:v>0.1275</c:v>
                </c:pt>
                <c:pt idx="28">
                  <c:v>0.1275</c:v>
                </c:pt>
                <c:pt idx="29">
                  <c:v>0.1275</c:v>
                </c:pt>
                <c:pt idx="30">
                  <c:v>0.1275</c:v>
                </c:pt>
                <c:pt idx="31">
                  <c:v>0.1275</c:v>
                </c:pt>
                <c:pt idx="32">
                  <c:v>0.13250000000000001</c:v>
                </c:pt>
                <c:pt idx="33">
                  <c:v>0.13750000000000001</c:v>
                </c:pt>
                <c:pt idx="34">
                  <c:v>0.13750000000000001</c:v>
                </c:pt>
                <c:pt idx="35">
                  <c:v>0.13750000000000001</c:v>
                </c:pt>
                <c:pt idx="36">
                  <c:v>0.13750000000000001</c:v>
                </c:pt>
                <c:pt idx="37">
                  <c:v>0.13750000000000001</c:v>
                </c:pt>
                <c:pt idx="38">
                  <c:v>0.13750000000000001</c:v>
                </c:pt>
                <c:pt idx="39">
                  <c:v>0.13750000000000001</c:v>
                </c:pt>
                <c:pt idx="40">
                  <c:v>0.13750000000000001</c:v>
                </c:pt>
                <c:pt idx="41">
                  <c:v>0.13750000000000001</c:v>
                </c:pt>
                <c:pt idx="42">
                  <c:v>0.13750000000000001</c:v>
                </c:pt>
                <c:pt idx="43">
                  <c:v>0.13750000000000001</c:v>
                </c:pt>
                <c:pt idx="44">
                  <c:v>0.13750000000000001</c:v>
                </c:pt>
                <c:pt idx="45">
                  <c:v>0.13250000000000001</c:v>
                </c:pt>
                <c:pt idx="46">
                  <c:v>0.1275</c:v>
                </c:pt>
                <c:pt idx="47">
                  <c:v>0.1225</c:v>
                </c:pt>
                <c:pt idx="48">
                  <c:v>0.11749999999999999</c:v>
                </c:pt>
                <c:pt idx="49">
                  <c:v>0.1125</c:v>
                </c:pt>
                <c:pt idx="50">
                  <c:v>0.1075</c:v>
                </c:pt>
                <c:pt idx="51">
                  <c:v>0.105</c:v>
                </c:pt>
                <c:pt idx="52">
                  <c:v>0.105</c:v>
                </c:pt>
                <c:pt idx="53">
                  <c:v>0.105</c:v>
                </c:pt>
                <c:pt idx="54">
                  <c:v>0.105</c:v>
                </c:pt>
                <c:pt idx="55">
                  <c:v>0.105</c:v>
                </c:pt>
                <c:pt idx="56">
                  <c:v>0.105</c:v>
                </c:pt>
                <c:pt idx="57">
                  <c:v>0.105</c:v>
                </c:pt>
                <c:pt idx="58">
                  <c:v>0.1075</c:v>
                </c:pt>
                <c:pt idx="59">
                  <c:v>0.1125</c:v>
                </c:pt>
                <c:pt idx="60">
                  <c:v>0.1225</c:v>
                </c:pt>
                <c:pt idx="61">
                  <c:v>0.13250000000000001</c:v>
                </c:pt>
                <c:pt idx="62">
                  <c:v>0.14249999999999999</c:v>
                </c:pt>
                <c:pt idx="63">
                  <c:v>0.14749999999999999</c:v>
                </c:pt>
                <c:pt idx="64">
                  <c:v>0.14749999999999999</c:v>
                </c:pt>
                <c:pt idx="65">
                  <c:v>0.14749999999999999</c:v>
                </c:pt>
                <c:pt idx="66">
                  <c:v>0.14749999999999999</c:v>
                </c:pt>
                <c:pt idx="67">
                  <c:v>0.14749999999999999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</c:v>
                </c:pt>
                <c:pt idx="72">
                  <c:v>0.15</c:v>
                </c:pt>
                <c:pt idx="73">
                  <c:v>0.15</c:v>
                </c:pt>
                <c:pt idx="74">
                  <c:v>0.14749999999999999</c:v>
                </c:pt>
                <c:pt idx="75">
                  <c:v>0.14499999999999999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C-449D-8838-F867463B7B3F}"/>
            </c:ext>
          </c:extLst>
        </c:ser>
        <c:ser>
          <c:idx val="1"/>
          <c:order val="1"/>
          <c:tx>
            <c:strRef>
              <c:f>'7_TPM''s'!$D$5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'7_TPM''s'!$B$6:$B$86</c:f>
              <c:numCache>
                <c:formatCode>mmm\-yy</c:formatCode>
                <c:ptCount val="81"/>
                <c:pt idx="0">
                  <c:v>43831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  <c:pt idx="71">
                  <c:v>46022</c:v>
                </c:pt>
                <c:pt idx="72">
                  <c:v>46053</c:v>
                </c:pt>
                <c:pt idx="73">
                  <c:v>46081</c:v>
                </c:pt>
                <c:pt idx="74">
                  <c:v>46112</c:v>
                </c:pt>
                <c:pt idx="75">
                  <c:v>46142</c:v>
                </c:pt>
                <c:pt idx="76">
                  <c:v>46173</c:v>
                </c:pt>
                <c:pt idx="77">
                  <c:v>46203</c:v>
                </c:pt>
                <c:pt idx="78">
                  <c:v>46234</c:v>
                </c:pt>
                <c:pt idx="79">
                  <c:v>46265</c:v>
                </c:pt>
                <c:pt idx="80">
                  <c:v>46295</c:v>
                </c:pt>
              </c:numCache>
            </c:numRef>
          </c:cat>
          <c:val>
            <c:numRef>
              <c:f>'7_TPM''s'!$D$6:$D$86</c:f>
              <c:numCache>
                <c:formatCode>0.00%</c:formatCode>
                <c:ptCount val="81"/>
                <c:pt idx="0">
                  <c:v>1.7500000000000002E-2</c:v>
                </c:pt>
                <c:pt idx="1">
                  <c:v>1.7500000000000002E-2</c:v>
                </c:pt>
                <c:pt idx="2">
                  <c:v>0.01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5.0000000000000001E-3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5.0000000000000001E-3</c:v>
                </c:pt>
                <c:pt idx="19">
                  <c:v>7.4999999999999997E-3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2.75E-2</c:v>
                </c:pt>
                <c:pt idx="23">
                  <c:v>2.75E-2</c:v>
                </c:pt>
                <c:pt idx="24">
                  <c:v>5.5E-2</c:v>
                </c:pt>
                <c:pt idx="25">
                  <c:v>5.5E-2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8.2500000000000004E-2</c:v>
                </c:pt>
                <c:pt idx="29">
                  <c:v>0.09</c:v>
                </c:pt>
                <c:pt idx="30">
                  <c:v>0.09</c:v>
                </c:pt>
                <c:pt idx="31">
                  <c:v>9.7500000000000003E-2</c:v>
                </c:pt>
                <c:pt idx="32">
                  <c:v>0.1075</c:v>
                </c:pt>
                <c:pt idx="33">
                  <c:v>0.1075</c:v>
                </c:pt>
                <c:pt idx="34">
                  <c:v>0.1125</c:v>
                </c:pt>
                <c:pt idx="35">
                  <c:v>0.1125</c:v>
                </c:pt>
                <c:pt idx="36">
                  <c:v>0.1125</c:v>
                </c:pt>
                <c:pt idx="37">
                  <c:v>0.1125</c:v>
                </c:pt>
                <c:pt idx="38">
                  <c:v>0.1125</c:v>
                </c:pt>
                <c:pt idx="39">
                  <c:v>0.1125</c:v>
                </c:pt>
                <c:pt idx="40">
                  <c:v>0.1125</c:v>
                </c:pt>
                <c:pt idx="41">
                  <c:v>0.1125</c:v>
                </c:pt>
                <c:pt idx="42">
                  <c:v>0.10249999999999999</c:v>
                </c:pt>
                <c:pt idx="43">
                  <c:v>0.10249999999999999</c:v>
                </c:pt>
                <c:pt idx="44">
                  <c:v>0.10249999999999999</c:v>
                </c:pt>
                <c:pt idx="45">
                  <c:v>0.09</c:v>
                </c:pt>
                <c:pt idx="46">
                  <c:v>0.09</c:v>
                </c:pt>
                <c:pt idx="47">
                  <c:v>0.09</c:v>
                </c:pt>
                <c:pt idx="48">
                  <c:v>8.2500000000000004E-2</c:v>
                </c:pt>
                <c:pt idx="49">
                  <c:v>7.2499999999999995E-2</c:v>
                </c:pt>
                <c:pt idx="50">
                  <c:v>7.2499999999999995E-2</c:v>
                </c:pt>
                <c:pt idx="51">
                  <c:v>6.5000000000000002E-2</c:v>
                </c:pt>
                <c:pt idx="52">
                  <c:v>0.06</c:v>
                </c:pt>
                <c:pt idx="53">
                  <c:v>0.06</c:v>
                </c:pt>
                <c:pt idx="54">
                  <c:v>5.7500000000000002E-2</c:v>
                </c:pt>
                <c:pt idx="55">
                  <c:v>5.7500000000000002E-2</c:v>
                </c:pt>
                <c:pt idx="56">
                  <c:v>5.5E-2</c:v>
                </c:pt>
                <c:pt idx="57">
                  <c:v>5.5E-2</c:v>
                </c:pt>
                <c:pt idx="58">
                  <c:v>5.5E-2</c:v>
                </c:pt>
                <c:pt idx="59">
                  <c:v>5.5E-2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4.7500000000000001E-2</c:v>
                </c:pt>
                <c:pt idx="67">
                  <c:v>4.7500000000000001E-2</c:v>
                </c:pt>
                <c:pt idx="68">
                  <c:v>4.7500000000000001E-2</c:v>
                </c:pt>
                <c:pt idx="69">
                  <c:v>4.7500000000000001E-2</c:v>
                </c:pt>
                <c:pt idx="70">
                  <c:v>4.7500000000000001E-2</c:v>
                </c:pt>
                <c:pt idx="71">
                  <c:v>4.7500000000000001E-2</c:v>
                </c:pt>
                <c:pt idx="72">
                  <c:v>4.7500000000000001E-2</c:v>
                </c:pt>
                <c:pt idx="73">
                  <c:v>4.7500000000000001E-2</c:v>
                </c:pt>
                <c:pt idx="74">
                  <c:v>4.4999999999999998E-2</c:v>
                </c:pt>
                <c:pt idx="75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FC-449D-8838-F867463B7B3F}"/>
            </c:ext>
          </c:extLst>
        </c:ser>
        <c:ser>
          <c:idx val="2"/>
          <c:order val="2"/>
          <c:tx>
            <c:strRef>
              <c:f>'7_TPM''s'!$E$5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'7_TPM''s'!$B$6:$B$86</c:f>
              <c:numCache>
                <c:formatCode>mmm\-yy</c:formatCode>
                <c:ptCount val="81"/>
                <c:pt idx="0">
                  <c:v>43831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  <c:pt idx="71">
                  <c:v>46022</c:v>
                </c:pt>
                <c:pt idx="72">
                  <c:v>46053</c:v>
                </c:pt>
                <c:pt idx="73">
                  <c:v>46081</c:v>
                </c:pt>
                <c:pt idx="74">
                  <c:v>46112</c:v>
                </c:pt>
                <c:pt idx="75">
                  <c:v>46142</c:v>
                </c:pt>
                <c:pt idx="76">
                  <c:v>46173</c:v>
                </c:pt>
                <c:pt idx="77">
                  <c:v>46203</c:v>
                </c:pt>
                <c:pt idx="78">
                  <c:v>46234</c:v>
                </c:pt>
                <c:pt idx="79">
                  <c:v>46265</c:v>
                </c:pt>
                <c:pt idx="80">
                  <c:v>46295</c:v>
                </c:pt>
              </c:numCache>
            </c:numRef>
          </c:cat>
          <c:val>
            <c:numRef>
              <c:f>'7_TPM''s'!$E$6:$E$86</c:f>
              <c:numCache>
                <c:formatCode>0.00%</c:formatCode>
                <c:ptCount val="81"/>
                <c:pt idx="0">
                  <c:v>4.2500000000000003E-2</c:v>
                </c:pt>
                <c:pt idx="1">
                  <c:v>4.2500000000000003E-2</c:v>
                </c:pt>
                <c:pt idx="2">
                  <c:v>3.7499999999999999E-2</c:v>
                </c:pt>
                <c:pt idx="3">
                  <c:v>3.7499999999999999E-2</c:v>
                </c:pt>
                <c:pt idx="4">
                  <c:v>3.2500000000000001E-2</c:v>
                </c:pt>
                <c:pt idx="5">
                  <c:v>2.75E-2</c:v>
                </c:pt>
                <c:pt idx="6">
                  <c:v>2.5000000000000001E-2</c:v>
                </c:pt>
                <c:pt idx="7">
                  <c:v>2.2499999999999999E-2</c:v>
                </c:pt>
                <c:pt idx="8">
                  <c:v>1.7500000000000002E-2</c:v>
                </c:pt>
                <c:pt idx="9">
                  <c:v>1.7500000000000002E-2</c:v>
                </c:pt>
                <c:pt idx="10">
                  <c:v>1.7500000000000002E-2</c:v>
                </c:pt>
                <c:pt idx="11">
                  <c:v>1.7500000000000002E-2</c:v>
                </c:pt>
                <c:pt idx="12">
                  <c:v>1.7500000000000002E-2</c:v>
                </c:pt>
                <c:pt idx="13">
                  <c:v>1.7500000000000002E-2</c:v>
                </c:pt>
                <c:pt idx="14">
                  <c:v>1.7500000000000002E-2</c:v>
                </c:pt>
                <c:pt idx="15">
                  <c:v>1.7500000000000002E-2</c:v>
                </c:pt>
                <c:pt idx="16">
                  <c:v>1.7500000000000002E-2</c:v>
                </c:pt>
                <c:pt idx="17">
                  <c:v>1.7500000000000002E-2</c:v>
                </c:pt>
                <c:pt idx="18">
                  <c:v>1.7500000000000002E-2</c:v>
                </c:pt>
                <c:pt idx="19">
                  <c:v>1.7500000000000002E-2</c:v>
                </c:pt>
                <c:pt idx="20">
                  <c:v>1.7500000000000002E-2</c:v>
                </c:pt>
                <c:pt idx="21">
                  <c:v>0.02</c:v>
                </c:pt>
                <c:pt idx="22">
                  <c:v>2.5000000000000001E-2</c:v>
                </c:pt>
                <c:pt idx="23">
                  <c:v>0.03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0.05</c:v>
                </c:pt>
                <c:pt idx="28">
                  <c:v>0.06</c:v>
                </c:pt>
                <c:pt idx="29">
                  <c:v>0.06</c:v>
                </c:pt>
                <c:pt idx="30">
                  <c:v>7.4999999999999997E-2</c:v>
                </c:pt>
                <c:pt idx="31">
                  <c:v>0.09</c:v>
                </c:pt>
                <c:pt idx="32">
                  <c:v>0.1</c:v>
                </c:pt>
                <c:pt idx="33">
                  <c:v>0.11</c:v>
                </c:pt>
                <c:pt idx="34">
                  <c:v>0.11</c:v>
                </c:pt>
                <c:pt idx="35">
                  <c:v>0.12</c:v>
                </c:pt>
                <c:pt idx="36">
                  <c:v>0.1275</c:v>
                </c:pt>
                <c:pt idx="37">
                  <c:v>0.1275</c:v>
                </c:pt>
                <c:pt idx="38">
                  <c:v>0.13</c:v>
                </c:pt>
                <c:pt idx="39">
                  <c:v>0.13</c:v>
                </c:pt>
                <c:pt idx="40">
                  <c:v>0.13250000000000001</c:v>
                </c:pt>
                <c:pt idx="41">
                  <c:v>0.13250000000000001</c:v>
                </c:pt>
                <c:pt idx="42">
                  <c:v>0.13250000000000001</c:v>
                </c:pt>
                <c:pt idx="43">
                  <c:v>0.13250000000000001</c:v>
                </c:pt>
                <c:pt idx="44">
                  <c:v>0.13250000000000001</c:v>
                </c:pt>
                <c:pt idx="45">
                  <c:v>0.13250000000000001</c:v>
                </c:pt>
                <c:pt idx="46">
                  <c:v>0.13250000000000001</c:v>
                </c:pt>
                <c:pt idx="47">
                  <c:v>0.13</c:v>
                </c:pt>
                <c:pt idx="48">
                  <c:v>0.13</c:v>
                </c:pt>
                <c:pt idx="49">
                  <c:v>0.1275</c:v>
                </c:pt>
                <c:pt idx="50">
                  <c:v>0.1225</c:v>
                </c:pt>
                <c:pt idx="51">
                  <c:v>0.1225</c:v>
                </c:pt>
                <c:pt idx="52">
                  <c:v>0.11749999999999999</c:v>
                </c:pt>
                <c:pt idx="53">
                  <c:v>0.11749999999999999</c:v>
                </c:pt>
                <c:pt idx="54">
                  <c:v>0.1125</c:v>
                </c:pt>
                <c:pt idx="55">
                  <c:v>0.1075</c:v>
                </c:pt>
                <c:pt idx="56">
                  <c:v>0.1075</c:v>
                </c:pt>
                <c:pt idx="57">
                  <c:v>0.10249999999999999</c:v>
                </c:pt>
                <c:pt idx="58">
                  <c:v>9.7500000000000003E-2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9.2499999999999999E-2</c:v>
                </c:pt>
                <c:pt idx="65">
                  <c:v>9.2499999999999999E-2</c:v>
                </c:pt>
                <c:pt idx="66">
                  <c:v>9.2499999999999999E-2</c:v>
                </c:pt>
                <c:pt idx="67">
                  <c:v>9.2499999999999999E-2</c:v>
                </c:pt>
                <c:pt idx="68">
                  <c:v>9.2499999999999999E-2</c:v>
                </c:pt>
                <c:pt idx="69">
                  <c:v>9.2499999999999999E-2</c:v>
                </c:pt>
                <c:pt idx="70">
                  <c:v>9.2499999999999999E-2</c:v>
                </c:pt>
                <c:pt idx="71">
                  <c:v>9.2499999999999999E-2</c:v>
                </c:pt>
                <c:pt idx="72">
                  <c:v>9.2499999999999999E-2</c:v>
                </c:pt>
                <c:pt idx="73">
                  <c:v>0.10249999999999999</c:v>
                </c:pt>
                <c:pt idx="74">
                  <c:v>0.1125</c:v>
                </c:pt>
                <c:pt idx="75">
                  <c:v>0.1125</c:v>
                </c:pt>
                <c:pt idx="76">
                  <c:v>0.1125</c:v>
                </c:pt>
                <c:pt idx="77">
                  <c:v>0.12</c:v>
                </c:pt>
                <c:pt idx="7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FC-449D-8838-F867463B7B3F}"/>
            </c:ext>
          </c:extLst>
        </c:ser>
        <c:ser>
          <c:idx val="3"/>
          <c:order val="3"/>
          <c:tx>
            <c:strRef>
              <c:f>'7_TPM''s'!$F$5</c:f>
              <c:strCache>
                <c:ptCount val="1"/>
                <c:pt idx="0">
                  <c:v>MEXICO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'7_TPM''s'!$B$6:$B$86</c:f>
              <c:numCache>
                <c:formatCode>mmm\-yy</c:formatCode>
                <c:ptCount val="81"/>
                <c:pt idx="0">
                  <c:v>43831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  <c:pt idx="71">
                  <c:v>46022</c:v>
                </c:pt>
                <c:pt idx="72">
                  <c:v>46053</c:v>
                </c:pt>
                <c:pt idx="73">
                  <c:v>46081</c:v>
                </c:pt>
                <c:pt idx="74">
                  <c:v>46112</c:v>
                </c:pt>
                <c:pt idx="75">
                  <c:v>46142</c:v>
                </c:pt>
                <c:pt idx="76">
                  <c:v>46173</c:v>
                </c:pt>
                <c:pt idx="77">
                  <c:v>46203</c:v>
                </c:pt>
                <c:pt idx="78">
                  <c:v>46234</c:v>
                </c:pt>
                <c:pt idx="79">
                  <c:v>46265</c:v>
                </c:pt>
                <c:pt idx="80">
                  <c:v>46295</c:v>
                </c:pt>
              </c:numCache>
            </c:numRef>
          </c:cat>
          <c:val>
            <c:numRef>
              <c:f>'7_TPM''s'!$F$6:$F$86</c:f>
              <c:numCache>
                <c:formatCode>0.00%</c:formatCode>
                <c:ptCount val="81"/>
                <c:pt idx="0">
                  <c:v>7.2499999999999995E-2</c:v>
                </c:pt>
                <c:pt idx="1">
                  <c:v>7.0000000000000007E-2</c:v>
                </c:pt>
                <c:pt idx="2">
                  <c:v>6.5000000000000002E-2</c:v>
                </c:pt>
                <c:pt idx="3">
                  <c:v>0.06</c:v>
                </c:pt>
                <c:pt idx="4">
                  <c:v>5.5E-2</c:v>
                </c:pt>
                <c:pt idx="5">
                  <c:v>0.05</c:v>
                </c:pt>
                <c:pt idx="6">
                  <c:v>0.05</c:v>
                </c:pt>
                <c:pt idx="7">
                  <c:v>4.4999999999999998E-2</c:v>
                </c:pt>
                <c:pt idx="8">
                  <c:v>4.2500000000000003E-2</c:v>
                </c:pt>
                <c:pt idx="9">
                  <c:v>4.2500000000000003E-2</c:v>
                </c:pt>
                <c:pt idx="10">
                  <c:v>4.2500000000000003E-2</c:v>
                </c:pt>
                <c:pt idx="11">
                  <c:v>4.2500000000000003E-2</c:v>
                </c:pt>
                <c:pt idx="12">
                  <c:v>4.2500000000000003E-2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4.2500000000000003E-2</c:v>
                </c:pt>
                <c:pt idx="18">
                  <c:v>4.2500000000000003E-2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4.7500000000000001E-2</c:v>
                </c:pt>
                <c:pt idx="22">
                  <c:v>0.05</c:v>
                </c:pt>
                <c:pt idx="23">
                  <c:v>5.5E-2</c:v>
                </c:pt>
                <c:pt idx="24">
                  <c:v>5.5E-2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7.7499999999999999E-2</c:v>
                </c:pt>
                <c:pt idx="30">
                  <c:v>7.7499999999999999E-2</c:v>
                </c:pt>
                <c:pt idx="31">
                  <c:v>8.5000000000000006E-2</c:v>
                </c:pt>
                <c:pt idx="32">
                  <c:v>9.2499999999999999E-2</c:v>
                </c:pt>
                <c:pt idx="33">
                  <c:v>9.2499999999999999E-2</c:v>
                </c:pt>
                <c:pt idx="34">
                  <c:v>0.1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0.1125</c:v>
                </c:pt>
                <c:pt idx="39">
                  <c:v>0.1125</c:v>
                </c:pt>
                <c:pt idx="40">
                  <c:v>0.1125</c:v>
                </c:pt>
                <c:pt idx="41">
                  <c:v>0.1125</c:v>
                </c:pt>
                <c:pt idx="42">
                  <c:v>0.1125</c:v>
                </c:pt>
                <c:pt idx="43">
                  <c:v>0.1125</c:v>
                </c:pt>
                <c:pt idx="44">
                  <c:v>0.1125</c:v>
                </c:pt>
                <c:pt idx="45">
                  <c:v>0.1125</c:v>
                </c:pt>
                <c:pt idx="46">
                  <c:v>0.1125</c:v>
                </c:pt>
                <c:pt idx="47">
                  <c:v>0.1125</c:v>
                </c:pt>
                <c:pt idx="48">
                  <c:v>0.1125</c:v>
                </c:pt>
                <c:pt idx="49">
                  <c:v>0.1125</c:v>
                </c:pt>
                <c:pt idx="50">
                  <c:v>0.11</c:v>
                </c:pt>
                <c:pt idx="51">
                  <c:v>0.11</c:v>
                </c:pt>
                <c:pt idx="52">
                  <c:v>0.11</c:v>
                </c:pt>
                <c:pt idx="53">
                  <c:v>0.11</c:v>
                </c:pt>
                <c:pt idx="54">
                  <c:v>0.11</c:v>
                </c:pt>
                <c:pt idx="55">
                  <c:v>0.1075</c:v>
                </c:pt>
                <c:pt idx="56">
                  <c:v>0.105</c:v>
                </c:pt>
                <c:pt idx="57">
                  <c:v>0.105</c:v>
                </c:pt>
                <c:pt idx="58">
                  <c:v>0.10249999999999999</c:v>
                </c:pt>
                <c:pt idx="59">
                  <c:v>0.1</c:v>
                </c:pt>
                <c:pt idx="60">
                  <c:v>0.1</c:v>
                </c:pt>
                <c:pt idx="61">
                  <c:v>9.5000000000000001E-2</c:v>
                </c:pt>
                <c:pt idx="62">
                  <c:v>0.09</c:v>
                </c:pt>
                <c:pt idx="63">
                  <c:v>0.09</c:v>
                </c:pt>
                <c:pt idx="64">
                  <c:v>8.5000000000000006E-2</c:v>
                </c:pt>
                <c:pt idx="65">
                  <c:v>0.08</c:v>
                </c:pt>
                <c:pt idx="66">
                  <c:v>0.08</c:v>
                </c:pt>
                <c:pt idx="67">
                  <c:v>7.7499999999999999E-2</c:v>
                </c:pt>
                <c:pt idx="68">
                  <c:v>7.4999999999999997E-2</c:v>
                </c:pt>
                <c:pt idx="69">
                  <c:v>7.4999999999999997E-2</c:v>
                </c:pt>
                <c:pt idx="70">
                  <c:v>7.2499999999999995E-2</c:v>
                </c:pt>
                <c:pt idx="71">
                  <c:v>7.0000000000000007E-2</c:v>
                </c:pt>
                <c:pt idx="72">
                  <c:v>7.0000000000000007E-2</c:v>
                </c:pt>
                <c:pt idx="73">
                  <c:v>7.0000000000000007E-2</c:v>
                </c:pt>
                <c:pt idx="74">
                  <c:v>6.7500000000000004E-2</c:v>
                </c:pt>
                <c:pt idx="75">
                  <c:v>6.7500000000000004E-2</c:v>
                </c:pt>
                <c:pt idx="76">
                  <c:v>6.5000000000000002E-2</c:v>
                </c:pt>
                <c:pt idx="77">
                  <c:v>6.5000000000000002E-2</c:v>
                </c:pt>
                <c:pt idx="78">
                  <c:v>6.5000000000000002E-2</c:v>
                </c:pt>
                <c:pt idx="79">
                  <c:v>6.5000000000000002E-2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FC-449D-8838-F867463B7B3F}"/>
            </c:ext>
          </c:extLst>
        </c:ser>
        <c:ser>
          <c:idx val="4"/>
          <c:order val="4"/>
          <c:tx>
            <c:strRef>
              <c:f>'7_TPM''s'!$G$5</c:f>
              <c:strCache>
                <c:ptCount val="1"/>
                <c:pt idx="0">
                  <c:v>PERU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'7_TPM''s'!$B$6:$B$86</c:f>
              <c:numCache>
                <c:formatCode>mmm\-yy</c:formatCode>
                <c:ptCount val="81"/>
                <c:pt idx="0">
                  <c:v>43831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  <c:pt idx="71">
                  <c:v>46022</c:v>
                </c:pt>
                <c:pt idx="72">
                  <c:v>46053</c:v>
                </c:pt>
                <c:pt idx="73">
                  <c:v>46081</c:v>
                </c:pt>
                <c:pt idx="74">
                  <c:v>46112</c:v>
                </c:pt>
                <c:pt idx="75">
                  <c:v>46142</c:v>
                </c:pt>
                <c:pt idx="76">
                  <c:v>46173</c:v>
                </c:pt>
                <c:pt idx="77">
                  <c:v>46203</c:v>
                </c:pt>
                <c:pt idx="78">
                  <c:v>46234</c:v>
                </c:pt>
                <c:pt idx="79">
                  <c:v>46265</c:v>
                </c:pt>
                <c:pt idx="80">
                  <c:v>46295</c:v>
                </c:pt>
              </c:numCache>
            </c:numRef>
          </c:cat>
          <c:val>
            <c:numRef>
              <c:f>'7_TPM''s'!$G$6:$G$86</c:f>
              <c:numCache>
                <c:formatCode>0.00%</c:formatCode>
                <c:ptCount val="81"/>
                <c:pt idx="0">
                  <c:v>2.2499999999999999E-2</c:v>
                </c:pt>
                <c:pt idx="1">
                  <c:v>2.2499999999999999E-2</c:v>
                </c:pt>
                <c:pt idx="2">
                  <c:v>1.2500000000000001E-2</c:v>
                </c:pt>
                <c:pt idx="3">
                  <c:v>2.5000000000000001E-3</c:v>
                </c:pt>
                <c:pt idx="4">
                  <c:v>2.5000000000000001E-3</c:v>
                </c:pt>
                <c:pt idx="5">
                  <c:v>2.5000000000000001E-3</c:v>
                </c:pt>
                <c:pt idx="6">
                  <c:v>2.5000000000000001E-3</c:v>
                </c:pt>
                <c:pt idx="7">
                  <c:v>2.5000000000000001E-3</c:v>
                </c:pt>
                <c:pt idx="8">
                  <c:v>2.5000000000000001E-3</c:v>
                </c:pt>
                <c:pt idx="9">
                  <c:v>2.5000000000000001E-3</c:v>
                </c:pt>
                <c:pt idx="10">
                  <c:v>2.5000000000000001E-3</c:v>
                </c:pt>
                <c:pt idx="11">
                  <c:v>2.5000000000000001E-3</c:v>
                </c:pt>
                <c:pt idx="12">
                  <c:v>2.5000000000000001E-3</c:v>
                </c:pt>
                <c:pt idx="13">
                  <c:v>2.5000000000000001E-3</c:v>
                </c:pt>
                <c:pt idx="14">
                  <c:v>2.5000000000000001E-3</c:v>
                </c:pt>
                <c:pt idx="15">
                  <c:v>2.5000000000000001E-3</c:v>
                </c:pt>
                <c:pt idx="16">
                  <c:v>2.5000000000000001E-3</c:v>
                </c:pt>
                <c:pt idx="17">
                  <c:v>2.5000000000000001E-3</c:v>
                </c:pt>
                <c:pt idx="18">
                  <c:v>2.5000000000000001E-3</c:v>
                </c:pt>
                <c:pt idx="19">
                  <c:v>5.0000000000000001E-3</c:v>
                </c:pt>
                <c:pt idx="20">
                  <c:v>0.01</c:v>
                </c:pt>
                <c:pt idx="21">
                  <c:v>1.4999999999999999E-2</c:v>
                </c:pt>
                <c:pt idx="22">
                  <c:v>0.02</c:v>
                </c:pt>
                <c:pt idx="23">
                  <c:v>2.5000000000000001E-2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0.04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5.5E-2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6.7500000000000004E-2</c:v>
                </c:pt>
                <c:pt idx="33">
                  <c:v>7.0000000000000007E-2</c:v>
                </c:pt>
                <c:pt idx="34">
                  <c:v>7.2499999999999995E-2</c:v>
                </c:pt>
                <c:pt idx="35">
                  <c:v>7.4999999999999997E-2</c:v>
                </c:pt>
                <c:pt idx="36">
                  <c:v>7.7499999999999999E-2</c:v>
                </c:pt>
                <c:pt idx="37">
                  <c:v>7.7499999999999999E-2</c:v>
                </c:pt>
                <c:pt idx="38">
                  <c:v>7.7499999999999999E-2</c:v>
                </c:pt>
                <c:pt idx="39">
                  <c:v>7.7499999999999999E-2</c:v>
                </c:pt>
                <c:pt idx="40">
                  <c:v>7.7499999999999999E-2</c:v>
                </c:pt>
                <c:pt idx="41">
                  <c:v>7.7499999999999999E-2</c:v>
                </c:pt>
                <c:pt idx="42">
                  <c:v>7.7499999999999999E-2</c:v>
                </c:pt>
                <c:pt idx="43">
                  <c:v>7.7499999999999999E-2</c:v>
                </c:pt>
                <c:pt idx="44">
                  <c:v>7.4999999999999997E-2</c:v>
                </c:pt>
                <c:pt idx="45">
                  <c:v>7.2499999999999995E-2</c:v>
                </c:pt>
                <c:pt idx="46">
                  <c:v>7.0000000000000007E-2</c:v>
                </c:pt>
                <c:pt idx="47">
                  <c:v>6.7500000000000004E-2</c:v>
                </c:pt>
                <c:pt idx="48">
                  <c:v>6.5000000000000002E-2</c:v>
                </c:pt>
                <c:pt idx="49">
                  <c:v>6.25E-2</c:v>
                </c:pt>
                <c:pt idx="50">
                  <c:v>6.25E-2</c:v>
                </c:pt>
                <c:pt idx="51">
                  <c:v>0.06</c:v>
                </c:pt>
                <c:pt idx="52">
                  <c:v>5.7500000000000002E-2</c:v>
                </c:pt>
                <c:pt idx="53">
                  <c:v>5.7500000000000002E-2</c:v>
                </c:pt>
                <c:pt idx="54">
                  <c:v>5.7500000000000002E-2</c:v>
                </c:pt>
                <c:pt idx="55">
                  <c:v>5.5E-2</c:v>
                </c:pt>
                <c:pt idx="56">
                  <c:v>5.2499999999999998E-2</c:v>
                </c:pt>
                <c:pt idx="57">
                  <c:v>5.2499999999999998E-2</c:v>
                </c:pt>
                <c:pt idx="58">
                  <c:v>0.05</c:v>
                </c:pt>
                <c:pt idx="59">
                  <c:v>0.05</c:v>
                </c:pt>
                <c:pt idx="60">
                  <c:v>4.7500000000000001E-2</c:v>
                </c:pt>
                <c:pt idx="61">
                  <c:v>4.7500000000000001E-2</c:v>
                </c:pt>
                <c:pt idx="62">
                  <c:v>4.7500000000000001E-2</c:v>
                </c:pt>
                <c:pt idx="63">
                  <c:v>4.7500000000000001E-2</c:v>
                </c:pt>
                <c:pt idx="64">
                  <c:v>4.4999999999999998E-2</c:v>
                </c:pt>
                <c:pt idx="65">
                  <c:v>4.4999999999999998E-2</c:v>
                </c:pt>
                <c:pt idx="66">
                  <c:v>4.4999999999999998E-2</c:v>
                </c:pt>
                <c:pt idx="67">
                  <c:v>4.4999999999999998E-2</c:v>
                </c:pt>
                <c:pt idx="68">
                  <c:v>4.2500000000000003E-2</c:v>
                </c:pt>
                <c:pt idx="69">
                  <c:v>4.2500000000000003E-2</c:v>
                </c:pt>
                <c:pt idx="70">
                  <c:v>4.2500000000000003E-2</c:v>
                </c:pt>
                <c:pt idx="71">
                  <c:v>4.2500000000000003E-2</c:v>
                </c:pt>
                <c:pt idx="72">
                  <c:v>4.2500000000000003E-2</c:v>
                </c:pt>
                <c:pt idx="73">
                  <c:v>4.2500000000000003E-2</c:v>
                </c:pt>
                <c:pt idx="74">
                  <c:v>4.2500000000000003E-2</c:v>
                </c:pt>
                <c:pt idx="75">
                  <c:v>4.2500000000000003E-2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FC-449D-8838-F867463B7B3F}"/>
            </c:ext>
          </c:extLst>
        </c:ser>
        <c:ser>
          <c:idx val="5"/>
          <c:order val="5"/>
          <c:tx>
            <c:strRef>
              <c:f>'7_TPM''s'!$H$5</c:f>
              <c:strCache>
                <c:ptCount val="1"/>
                <c:pt idx="0">
                  <c:v>Estados Unidos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'7_TPM''s'!$B$6:$B$86</c:f>
              <c:numCache>
                <c:formatCode>mmm\-yy</c:formatCode>
                <c:ptCount val="81"/>
                <c:pt idx="0">
                  <c:v>43831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  <c:pt idx="71">
                  <c:v>46022</c:v>
                </c:pt>
                <c:pt idx="72">
                  <c:v>46053</c:v>
                </c:pt>
                <c:pt idx="73">
                  <c:v>46081</c:v>
                </c:pt>
                <c:pt idx="74">
                  <c:v>46112</c:v>
                </c:pt>
                <c:pt idx="75">
                  <c:v>46142</c:v>
                </c:pt>
                <c:pt idx="76">
                  <c:v>46173</c:v>
                </c:pt>
                <c:pt idx="77">
                  <c:v>46203</c:v>
                </c:pt>
                <c:pt idx="78">
                  <c:v>46234</c:v>
                </c:pt>
                <c:pt idx="79">
                  <c:v>46265</c:v>
                </c:pt>
                <c:pt idx="80">
                  <c:v>46295</c:v>
                </c:pt>
              </c:numCache>
            </c:numRef>
          </c:cat>
          <c:val>
            <c:numRef>
              <c:f>'7_TPM''s'!$H$6:$H$86</c:f>
              <c:numCache>
                <c:formatCode>0.00%</c:formatCode>
                <c:ptCount val="81"/>
                <c:pt idx="0">
                  <c:v>1.55E-2</c:v>
                </c:pt>
                <c:pt idx="1">
                  <c:v>1.5800000000000002E-2</c:v>
                </c:pt>
                <c:pt idx="2">
                  <c:v>6.5000000000000006E-3</c:v>
                </c:pt>
                <c:pt idx="3">
                  <c:v>5.0000000000000001E-4</c:v>
                </c:pt>
                <c:pt idx="4">
                  <c:v>5.0000000000000001E-4</c:v>
                </c:pt>
                <c:pt idx="5">
                  <c:v>8.0000000000000004E-4</c:v>
                </c:pt>
                <c:pt idx="6">
                  <c:v>8.9999999999999998E-4</c:v>
                </c:pt>
                <c:pt idx="7">
                  <c:v>1E-3</c:v>
                </c:pt>
                <c:pt idx="8">
                  <c:v>8.9999999999999998E-4</c:v>
                </c:pt>
                <c:pt idx="9">
                  <c:v>8.9999999999999998E-4</c:v>
                </c:pt>
                <c:pt idx="10">
                  <c:v>8.9999999999999998E-4</c:v>
                </c:pt>
                <c:pt idx="11">
                  <c:v>8.9999999999999998E-4</c:v>
                </c:pt>
                <c:pt idx="12">
                  <c:v>8.9999999999999998E-4</c:v>
                </c:pt>
                <c:pt idx="13">
                  <c:v>8.0000000000000004E-4</c:v>
                </c:pt>
                <c:pt idx="14">
                  <c:v>7.000000000000001E-4</c:v>
                </c:pt>
                <c:pt idx="15">
                  <c:v>7.000000000000001E-4</c:v>
                </c:pt>
                <c:pt idx="16">
                  <c:v>5.9999999999999995E-4</c:v>
                </c:pt>
                <c:pt idx="17">
                  <c:v>8.0000000000000004E-4</c:v>
                </c:pt>
                <c:pt idx="18">
                  <c:v>1E-3</c:v>
                </c:pt>
                <c:pt idx="19">
                  <c:v>8.9999999999999998E-4</c:v>
                </c:pt>
                <c:pt idx="20">
                  <c:v>8.0000000000000004E-4</c:v>
                </c:pt>
                <c:pt idx="21">
                  <c:v>8.0000000000000004E-4</c:v>
                </c:pt>
                <c:pt idx="22">
                  <c:v>8.0000000000000004E-4</c:v>
                </c:pt>
                <c:pt idx="23">
                  <c:v>8.0000000000000004E-4</c:v>
                </c:pt>
                <c:pt idx="24">
                  <c:v>8.0000000000000004E-4</c:v>
                </c:pt>
                <c:pt idx="25">
                  <c:v>8.0000000000000004E-4</c:v>
                </c:pt>
                <c:pt idx="26">
                  <c:v>2E-3</c:v>
                </c:pt>
                <c:pt idx="27">
                  <c:v>3.3E-3</c:v>
                </c:pt>
                <c:pt idx="28">
                  <c:v>7.7000000000000002E-3</c:v>
                </c:pt>
                <c:pt idx="29">
                  <c:v>1.21E-2</c:v>
                </c:pt>
                <c:pt idx="30">
                  <c:v>1.6799999999999999E-2</c:v>
                </c:pt>
                <c:pt idx="31">
                  <c:v>2.3300000000000001E-2</c:v>
                </c:pt>
                <c:pt idx="32">
                  <c:v>2.5600000000000001E-2</c:v>
                </c:pt>
                <c:pt idx="33">
                  <c:v>3.0800000000000001E-2</c:v>
                </c:pt>
                <c:pt idx="34">
                  <c:v>3.78E-2</c:v>
                </c:pt>
                <c:pt idx="35">
                  <c:v>4.0999999999999995E-2</c:v>
                </c:pt>
                <c:pt idx="36">
                  <c:v>4.3299999999999998E-2</c:v>
                </c:pt>
                <c:pt idx="37">
                  <c:v>4.5700000000000005E-2</c:v>
                </c:pt>
                <c:pt idx="38">
                  <c:v>4.6500000000000007E-2</c:v>
                </c:pt>
                <c:pt idx="39">
                  <c:v>4.8300000000000003E-2</c:v>
                </c:pt>
                <c:pt idx="40">
                  <c:v>5.0599999999999999E-2</c:v>
                </c:pt>
                <c:pt idx="41">
                  <c:v>5.0799999999999998E-2</c:v>
                </c:pt>
                <c:pt idx="42">
                  <c:v>5.1200000000000002E-2</c:v>
                </c:pt>
                <c:pt idx="43">
                  <c:v>5.33E-2</c:v>
                </c:pt>
                <c:pt idx="44">
                  <c:v>5.33E-2</c:v>
                </c:pt>
                <c:pt idx="45">
                  <c:v>5.33E-2</c:v>
                </c:pt>
                <c:pt idx="46">
                  <c:v>5.33E-2</c:v>
                </c:pt>
                <c:pt idx="47">
                  <c:v>5.33E-2</c:v>
                </c:pt>
                <c:pt idx="48">
                  <c:v>5.33E-2</c:v>
                </c:pt>
                <c:pt idx="49">
                  <c:v>5.33E-2</c:v>
                </c:pt>
                <c:pt idx="50">
                  <c:v>5.33E-2</c:v>
                </c:pt>
                <c:pt idx="51">
                  <c:v>5.33E-2</c:v>
                </c:pt>
                <c:pt idx="52">
                  <c:v>5.33E-2</c:v>
                </c:pt>
                <c:pt idx="53">
                  <c:v>5.33E-2</c:v>
                </c:pt>
                <c:pt idx="54">
                  <c:v>5.33E-2</c:v>
                </c:pt>
                <c:pt idx="55">
                  <c:v>5.33E-2</c:v>
                </c:pt>
                <c:pt idx="56">
                  <c:v>5.1299999999999998E-2</c:v>
                </c:pt>
                <c:pt idx="57">
                  <c:v>4.8300000000000003E-2</c:v>
                </c:pt>
                <c:pt idx="58">
                  <c:v>4.6399999999999997E-2</c:v>
                </c:pt>
                <c:pt idx="59">
                  <c:v>4.4800000000000006E-2</c:v>
                </c:pt>
                <c:pt idx="60">
                  <c:v>4.3299999999999998E-2</c:v>
                </c:pt>
                <c:pt idx="61">
                  <c:v>4.3299999999999998E-2</c:v>
                </c:pt>
                <c:pt idx="62">
                  <c:v>4.3299999999999998E-2</c:v>
                </c:pt>
                <c:pt idx="63">
                  <c:v>4.3299999999999998E-2</c:v>
                </c:pt>
                <c:pt idx="64">
                  <c:v>4.3299999999999998E-2</c:v>
                </c:pt>
                <c:pt idx="65">
                  <c:v>4.3299999999999998E-2</c:v>
                </c:pt>
                <c:pt idx="66">
                  <c:v>4.3299999999999998E-2</c:v>
                </c:pt>
                <c:pt idx="67">
                  <c:v>4.3299999999999998E-2</c:v>
                </c:pt>
                <c:pt idx="68">
                  <c:v>4.2199999999999994E-2</c:v>
                </c:pt>
                <c:pt idx="69">
                  <c:v>4.0899999999999999E-2</c:v>
                </c:pt>
                <c:pt idx="70">
                  <c:v>3.8800000000000001E-2</c:v>
                </c:pt>
                <c:pt idx="71">
                  <c:v>3.7200000000000004E-2</c:v>
                </c:pt>
                <c:pt idx="72">
                  <c:v>3.6400000000000002E-2</c:v>
                </c:pt>
                <c:pt idx="73">
                  <c:v>3.6400000000000002E-2</c:v>
                </c:pt>
                <c:pt idx="74">
                  <c:v>3.6400000000000002E-2</c:v>
                </c:pt>
                <c:pt idx="75">
                  <c:v>3.6400000000000002E-2</c:v>
                </c:pt>
                <c:pt idx="76">
                  <c:v>3.6299999999999999E-2</c:v>
                </c:pt>
                <c:pt idx="77">
                  <c:v>3.6299999999999999E-2</c:v>
                </c:pt>
                <c:pt idx="78">
                  <c:v>3.6299999999999999E-2</c:v>
                </c:pt>
                <c:pt idx="79">
                  <c:v>3.6299999999999999E-2</c:v>
                </c:pt>
                <c:pt idx="80">
                  <c:v>3.7499999999999999E-2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FC-449D-8838-F867463B7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17919"/>
        <c:axId val="1798394127"/>
      </c:lineChart>
      <c:dateAx>
        <c:axId val="66381791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endParaRPr lang="es-CO"/>
          </a:p>
        </c:txPr>
        <c:crossAx val="1798394127"/>
        <c:crosses val="autoZero"/>
        <c:auto val="1"/>
        <c:lblOffset val="100"/>
        <c:baseTimeUnit val="months"/>
      </c:dateAx>
      <c:valAx>
        <c:axId val="179839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ura Sans" pitchFamily="50" charset="0"/>
                <a:ea typeface="+mn-ea"/>
                <a:cs typeface="+mn-cs"/>
              </a:defRPr>
            </a:pPr>
            <a:endParaRPr lang="es-CO"/>
          </a:p>
        </c:txPr>
        <c:crossAx val="66381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ura Sans" pitchFamily="50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>
          <a:latin typeface="Sura Sans" pitchFamily="50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PIB_Corp_Colombia!$B$4</c:f>
              <c:strCache>
                <c:ptCount val="1"/>
                <c:pt idx="0">
                  <c:v>PIB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PIB_Corp_Colombia!$C$3:$K$3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</c:numCache>
            </c:numRef>
          </c:cat>
          <c:val>
            <c:numRef>
              <c:f>PIB_Corp_Colombia!$C$4:$K$4</c:f>
              <c:numCache>
                <c:formatCode>0.0</c:formatCode>
                <c:ptCount val="9"/>
                <c:pt idx="0">
                  <c:v>-7.19</c:v>
                </c:pt>
                <c:pt idx="1">
                  <c:v>10.8</c:v>
                </c:pt>
                <c:pt idx="2">
                  <c:v>7.33</c:v>
                </c:pt>
                <c:pt idx="3">
                  <c:v>0.84</c:v>
                </c:pt>
                <c:pt idx="4">
                  <c:v>1.49</c:v>
                </c:pt>
                <c:pt idx="5">
                  <c:v>2.64</c:v>
                </c:pt>
                <c:pt idx="6">
                  <c:v>2.19</c:v>
                </c:pt>
                <c:pt idx="7">
                  <c:v>2.4</c:v>
                </c:pt>
                <c:pt idx="8">
                  <c:v>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A-4AD0-ADBD-F9C0D94BC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14831"/>
        <c:axId val="521513391"/>
      </c:barChart>
      <c:catAx>
        <c:axId val="52151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3391"/>
        <c:crosses val="autoZero"/>
        <c:auto val="1"/>
        <c:lblAlgn val="ctr"/>
        <c:lblOffset val="100"/>
        <c:noMultiLvlLbl val="0"/>
      </c:catAx>
      <c:valAx>
        <c:axId val="52151339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Consumer</a:t>
            </a:r>
            <a:r>
              <a:rPr lang="es-CO" baseline="0"/>
              <a:t> EBITDA Margin &amp; Net Leverage Average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PIB_Corp_Colombia!$I$33</c:f>
              <c:strCache>
                <c:ptCount val="1"/>
                <c:pt idx="0">
                  <c:v>EBITDA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PIB_Corp_Colombia!$J$32:$M$32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PIB_Corp_Colombia!$J$33:$M$33</c:f>
              <c:numCache>
                <c:formatCode>0.0%</c:formatCode>
                <c:ptCount val="4"/>
                <c:pt idx="0">
                  <c:v>6.6250000000000003E-2</c:v>
                </c:pt>
                <c:pt idx="1">
                  <c:v>7.4499999999999997E-2</c:v>
                </c:pt>
                <c:pt idx="2">
                  <c:v>7.5249999999999997E-2</c:v>
                </c:pt>
                <c:pt idx="3">
                  <c:v>7.9500000000000001E-2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FF-49D3-8847-2FADDA035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56095"/>
        <c:axId val="439550335"/>
      </c:lineChart>
      <c:lineChart>
        <c:grouping val="standard"/>
        <c:varyColors val="0"/>
        <c:ser>
          <c:idx val="1"/>
          <c:order val="1"/>
          <c:tx>
            <c:strRef>
              <c:f>PIB_Corp_Colombia!$I$34</c:f>
              <c:strCache>
                <c:ptCount val="1"/>
                <c:pt idx="0">
                  <c:v>Net Leverage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PIB_Corp_Colombia!$J$32:$M$32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PIB_Corp_Colombia!$J$34:$M$34</c:f>
              <c:numCache>
                <c:formatCode>#,##0.0"x"_)</c:formatCode>
                <c:ptCount val="4"/>
                <c:pt idx="0">
                  <c:v>2.1</c:v>
                </c:pt>
                <c:pt idx="1">
                  <c:v>2.8250000000000002</c:v>
                </c:pt>
                <c:pt idx="2">
                  <c:v>2.7</c:v>
                </c:pt>
                <c:pt idx="3">
                  <c:v>2.375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FF-49D3-8847-2FADDA035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44575"/>
        <c:axId val="439545535"/>
      </c:lineChart>
      <c:catAx>
        <c:axId val="4395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0335"/>
        <c:crosses val="autoZero"/>
        <c:auto val="1"/>
        <c:lblAlgn val="ctr"/>
        <c:lblOffset val="100"/>
        <c:noMultiLvlLbl val="0"/>
      </c:catAx>
      <c:valAx>
        <c:axId val="43955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6095"/>
        <c:crosses val="autoZero"/>
        <c:crossBetween val="between"/>
      </c:valAx>
      <c:valAx>
        <c:axId val="439545535"/>
        <c:scaling>
          <c:orientation val="minMax"/>
        </c:scaling>
        <c:delete val="0"/>
        <c:axPos val="r"/>
        <c:numFmt formatCode="#,##0.0&quot;x&quot;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44575"/>
        <c:crosses val="max"/>
        <c:crossBetween val="between"/>
      </c:valAx>
      <c:catAx>
        <c:axId val="43954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545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PIB_Corp_Mex!$B$4</c:f>
              <c:strCache>
                <c:ptCount val="1"/>
                <c:pt idx="0">
                  <c:v>PIB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PIB_Corp_Mex!$C$3:$K$3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</c:numCache>
            </c:numRef>
          </c:cat>
          <c:val>
            <c:numRef>
              <c:f>PIB_Corp_Mex!$C$4:$K$4</c:f>
              <c:numCache>
                <c:formatCode>0.0</c:formatCode>
                <c:ptCount val="9"/>
                <c:pt idx="0">
                  <c:v>-8.56</c:v>
                </c:pt>
                <c:pt idx="1">
                  <c:v>6.28</c:v>
                </c:pt>
                <c:pt idx="2">
                  <c:v>3.71</c:v>
                </c:pt>
                <c:pt idx="3">
                  <c:v>3.11</c:v>
                </c:pt>
                <c:pt idx="4">
                  <c:v>1.1100000000000001</c:v>
                </c:pt>
                <c:pt idx="5">
                  <c:v>0.79</c:v>
                </c:pt>
                <c:pt idx="6" formatCode="General">
                  <c:v>0.6</c:v>
                </c:pt>
                <c:pt idx="7" formatCode="General">
                  <c:v>1.3</c:v>
                </c:pt>
                <c:pt idx="8" formatCode="General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1-4E38-B34D-D32903EE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14831"/>
        <c:axId val="521513391"/>
      </c:barChart>
      <c:catAx>
        <c:axId val="52151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3391"/>
        <c:crosses val="autoZero"/>
        <c:auto val="1"/>
        <c:lblAlgn val="ctr"/>
        <c:lblOffset val="100"/>
        <c:noMultiLvlLbl val="0"/>
      </c:catAx>
      <c:valAx>
        <c:axId val="52151339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Consumer</a:t>
            </a:r>
            <a:r>
              <a:rPr lang="es-CO" baseline="0"/>
              <a:t> EBITDA Margin &amp; Net Leverage Average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PIB_Corp_Mex!$I$35</c:f>
              <c:strCache>
                <c:ptCount val="1"/>
                <c:pt idx="0">
                  <c:v>EBITDA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PIB_Corp_Mex!$J$34:$M$34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PIB_Corp_Mex!$J$35:$M$35</c:f>
              <c:numCache>
                <c:formatCode>0.0%</c:formatCode>
                <c:ptCount val="4"/>
                <c:pt idx="0">
                  <c:v>0.1115</c:v>
                </c:pt>
                <c:pt idx="1">
                  <c:v>0.10783333333333334</c:v>
                </c:pt>
                <c:pt idx="2">
                  <c:v>0.10950000000000001</c:v>
                </c:pt>
                <c:pt idx="3">
                  <c:v>0.11133333333333333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A-4C04-8271-322F3204C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56095"/>
        <c:axId val="439550335"/>
      </c:lineChart>
      <c:lineChart>
        <c:grouping val="standard"/>
        <c:varyColors val="0"/>
        <c:ser>
          <c:idx val="1"/>
          <c:order val="1"/>
          <c:tx>
            <c:strRef>
              <c:f>PIB_Corp_Mex!$I$36</c:f>
              <c:strCache>
                <c:ptCount val="1"/>
                <c:pt idx="0">
                  <c:v>Net Leverage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PIB_Corp_Mex!$J$34:$M$34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PIB_Corp_Mex!$J$36:$M$36</c:f>
              <c:numCache>
                <c:formatCode>#,##0.0"x"_)</c:formatCode>
                <c:ptCount val="4"/>
                <c:pt idx="0">
                  <c:v>1.9333333333333336</c:v>
                </c:pt>
                <c:pt idx="1">
                  <c:v>1.9000000000000004</c:v>
                </c:pt>
                <c:pt idx="2">
                  <c:v>1.7166666666666668</c:v>
                </c:pt>
                <c:pt idx="3">
                  <c:v>1.5333333333333332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CA-4C04-8271-322F3204C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44575"/>
        <c:axId val="439545535"/>
      </c:lineChart>
      <c:catAx>
        <c:axId val="4395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0335"/>
        <c:crosses val="autoZero"/>
        <c:auto val="1"/>
        <c:lblAlgn val="ctr"/>
        <c:lblOffset val="100"/>
        <c:noMultiLvlLbl val="0"/>
      </c:catAx>
      <c:valAx>
        <c:axId val="439550335"/>
        <c:scaling>
          <c:orientation val="minMax"/>
          <c:max val="0.12000000000000001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6095"/>
        <c:crosses val="autoZero"/>
        <c:crossBetween val="between"/>
      </c:valAx>
      <c:valAx>
        <c:axId val="439545535"/>
        <c:scaling>
          <c:orientation val="minMax"/>
        </c:scaling>
        <c:delete val="0"/>
        <c:axPos val="r"/>
        <c:numFmt formatCode="#,##0.0&quot;x&quot;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44575"/>
        <c:crosses val="max"/>
        <c:crossBetween val="between"/>
      </c:valAx>
      <c:catAx>
        <c:axId val="43954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545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PIB_Corp_Chile!$B$4</c:f>
              <c:strCache>
                <c:ptCount val="1"/>
                <c:pt idx="0">
                  <c:v>PIB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PIB_Corp_Chile!$C$3:$K$3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</c:numCache>
            </c:numRef>
          </c:cat>
          <c:val>
            <c:numRef>
              <c:f>PIB_Corp_Chile!$C$4:$K$4</c:f>
              <c:numCache>
                <c:formatCode>0.0</c:formatCode>
                <c:ptCount val="9"/>
                <c:pt idx="0">
                  <c:v>-6.1</c:v>
                </c:pt>
                <c:pt idx="1">
                  <c:v>11.3</c:v>
                </c:pt>
                <c:pt idx="2">
                  <c:v>2.08</c:v>
                </c:pt>
                <c:pt idx="3">
                  <c:v>0.78</c:v>
                </c:pt>
                <c:pt idx="4">
                  <c:v>2.59</c:v>
                </c:pt>
                <c:pt idx="5">
                  <c:v>2.4</c:v>
                </c:pt>
                <c:pt idx="6">
                  <c:v>2.16</c:v>
                </c:pt>
                <c:pt idx="7">
                  <c:v>2.2999999999999998</c:v>
                </c:pt>
                <c:pt idx="8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6-4DC8-9BB9-FF6275CDC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14831"/>
        <c:axId val="521513391"/>
      </c:barChart>
      <c:catAx>
        <c:axId val="52151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3391"/>
        <c:crosses val="autoZero"/>
        <c:auto val="1"/>
        <c:lblAlgn val="ctr"/>
        <c:lblOffset val="100"/>
        <c:noMultiLvlLbl val="0"/>
      </c:catAx>
      <c:valAx>
        <c:axId val="52151339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Consumer</a:t>
            </a:r>
            <a:r>
              <a:rPr lang="es-CO" baseline="0"/>
              <a:t> EBITDA Margin &amp; Net Leverage Average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PIB_Corp_Chile!$I$35</c:f>
              <c:strCache>
                <c:ptCount val="1"/>
                <c:pt idx="0">
                  <c:v>EBITDA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PIB_Corp_Chile!$J$34:$M$34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PIB_Corp_Chile!$J$35:$M$35</c:f>
              <c:numCache>
                <c:formatCode>0.0%</c:formatCode>
                <c:ptCount val="4"/>
                <c:pt idx="0">
                  <c:v>9.8800000000000013E-2</c:v>
                </c:pt>
                <c:pt idx="1">
                  <c:v>9.760000000000002E-2</c:v>
                </c:pt>
                <c:pt idx="2">
                  <c:v>9.8800000000000013E-2</c:v>
                </c:pt>
                <c:pt idx="3">
                  <c:v>0.1002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16-4D63-BCC0-A5328FA5D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56095"/>
        <c:axId val="439550335"/>
      </c:lineChart>
      <c:lineChart>
        <c:grouping val="standard"/>
        <c:varyColors val="0"/>
        <c:ser>
          <c:idx val="1"/>
          <c:order val="1"/>
          <c:tx>
            <c:strRef>
              <c:f>PIB_Corp_Chile!$I$36</c:f>
              <c:strCache>
                <c:ptCount val="1"/>
                <c:pt idx="0">
                  <c:v>Net Leverage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PIB_Corp_Chile!$J$34:$M$34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PIB_Corp_Chile!$J$36:$M$36</c:f>
              <c:numCache>
                <c:formatCode>#,##0.0"x"_)</c:formatCode>
                <c:ptCount val="4"/>
                <c:pt idx="0">
                  <c:v>2.12</c:v>
                </c:pt>
                <c:pt idx="1">
                  <c:v>1.9600000000000002</c:v>
                </c:pt>
                <c:pt idx="2">
                  <c:v>1.8</c:v>
                </c:pt>
                <c:pt idx="3">
                  <c:v>1.6199999999999999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16-4D63-BCC0-A5328FA5D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44575"/>
        <c:axId val="439545535"/>
      </c:lineChart>
      <c:catAx>
        <c:axId val="4395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0335"/>
        <c:crosses val="autoZero"/>
        <c:auto val="1"/>
        <c:lblAlgn val="ctr"/>
        <c:lblOffset val="100"/>
        <c:noMultiLvlLbl val="0"/>
      </c:catAx>
      <c:valAx>
        <c:axId val="439550335"/>
        <c:scaling>
          <c:orientation val="minMax"/>
          <c:max val="0.12000000000000001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6095"/>
        <c:crosses val="autoZero"/>
        <c:crossBetween val="between"/>
      </c:valAx>
      <c:valAx>
        <c:axId val="439545535"/>
        <c:scaling>
          <c:orientation val="minMax"/>
        </c:scaling>
        <c:delete val="0"/>
        <c:axPos val="r"/>
        <c:numFmt formatCode="#,##0.0&quot;x&quot;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44575"/>
        <c:crosses val="max"/>
        <c:crossBetween val="between"/>
      </c:valAx>
      <c:catAx>
        <c:axId val="43954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545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PIB_Corp_Brasil!$B$4</c:f>
              <c:strCache>
                <c:ptCount val="1"/>
                <c:pt idx="0">
                  <c:v>PIB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PIB_Corp_Brasil!$C$3:$K$3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</c:numCache>
            </c:numRef>
          </c:cat>
          <c:val>
            <c:numRef>
              <c:f>PIB_Corp_Brasil!$C$4:$K$4</c:f>
              <c:numCache>
                <c:formatCode>0.0</c:formatCode>
                <c:ptCount val="9"/>
                <c:pt idx="0">
                  <c:v>-3.57</c:v>
                </c:pt>
                <c:pt idx="1">
                  <c:v>5.0999999999999996</c:v>
                </c:pt>
                <c:pt idx="2">
                  <c:v>3.12</c:v>
                </c:pt>
                <c:pt idx="3">
                  <c:v>3.25</c:v>
                </c:pt>
                <c:pt idx="4">
                  <c:v>2.98</c:v>
                </c:pt>
                <c:pt idx="5">
                  <c:v>2.59</c:v>
                </c:pt>
                <c:pt idx="6">
                  <c:v>1.64</c:v>
                </c:pt>
                <c:pt idx="7">
                  <c:v>2.4500000000000002</c:v>
                </c:pt>
                <c:pt idx="8">
                  <c:v>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9-4029-86AC-D4BF1B089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14831"/>
        <c:axId val="521513391"/>
      </c:barChart>
      <c:catAx>
        <c:axId val="52151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3391"/>
        <c:crosses val="autoZero"/>
        <c:auto val="1"/>
        <c:lblAlgn val="ctr"/>
        <c:lblOffset val="100"/>
        <c:noMultiLvlLbl val="0"/>
      </c:catAx>
      <c:valAx>
        <c:axId val="52151339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Consumer</a:t>
            </a:r>
            <a:r>
              <a:rPr lang="es-CO" baseline="0"/>
              <a:t> EBITDA Margin &amp; Net Leverage Average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PIB_Corp_Brasil!$I$42</c:f>
              <c:strCache>
                <c:ptCount val="1"/>
                <c:pt idx="0">
                  <c:v>EBITDA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PIB_Corp_Brasil!$J$41:$M$41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PIB_Corp_Brasil!$J$42:$M$42</c:f>
              <c:numCache>
                <c:formatCode>0.0%</c:formatCode>
                <c:ptCount val="4"/>
                <c:pt idx="0">
                  <c:v>0.16346153846153846</c:v>
                </c:pt>
                <c:pt idx="1">
                  <c:v>0.16569230769230767</c:v>
                </c:pt>
                <c:pt idx="2">
                  <c:v>0.1666923076923077</c:v>
                </c:pt>
                <c:pt idx="3">
                  <c:v>0.16807692307692307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B-4ACB-ACD2-8ABC1E1B1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56095"/>
        <c:axId val="439550335"/>
      </c:lineChart>
      <c:lineChart>
        <c:grouping val="standard"/>
        <c:varyColors val="0"/>
        <c:ser>
          <c:idx val="1"/>
          <c:order val="1"/>
          <c:tx>
            <c:strRef>
              <c:f>PIB_Corp_Brasil!$I$43</c:f>
              <c:strCache>
                <c:ptCount val="1"/>
                <c:pt idx="0">
                  <c:v>Net Leverage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PIB_Corp_Brasil!$J$41:$M$41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PIB_Corp_Brasil!$J$43:$M$43</c:f>
              <c:numCache>
                <c:formatCode>#,##0.0"x"_)</c:formatCode>
                <c:ptCount val="4"/>
                <c:pt idx="0">
                  <c:v>3.2076923076923074</c:v>
                </c:pt>
                <c:pt idx="1">
                  <c:v>2.7692307692307692</c:v>
                </c:pt>
                <c:pt idx="2">
                  <c:v>2.523076923076923</c:v>
                </c:pt>
                <c:pt idx="3">
                  <c:v>2.2692307692307687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B-4ACB-ACD2-8ABC1E1B1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44575"/>
        <c:axId val="439545535"/>
      </c:lineChart>
      <c:catAx>
        <c:axId val="4395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0335"/>
        <c:crosses val="autoZero"/>
        <c:auto val="1"/>
        <c:lblAlgn val="ctr"/>
        <c:lblOffset val="100"/>
        <c:noMultiLvlLbl val="0"/>
      </c:catAx>
      <c:valAx>
        <c:axId val="439550335"/>
        <c:scaling>
          <c:orientation val="minMax"/>
          <c:max val="0.17"/>
          <c:min val="0.16000000000000003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6095"/>
        <c:crosses val="autoZero"/>
        <c:crossBetween val="between"/>
      </c:valAx>
      <c:valAx>
        <c:axId val="439545535"/>
        <c:scaling>
          <c:orientation val="minMax"/>
          <c:min val="1.5"/>
        </c:scaling>
        <c:delete val="0"/>
        <c:axPos val="r"/>
        <c:numFmt formatCode="#,##0.0&quot;x&quot;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44575"/>
        <c:crosses val="max"/>
        <c:crossBetween val="between"/>
      </c:valAx>
      <c:catAx>
        <c:axId val="43954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545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PIB_Corp_Peru!$B$4</c:f>
              <c:strCache>
                <c:ptCount val="1"/>
                <c:pt idx="0">
                  <c:v>PIB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3.39188305977611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A5-4050-980E-492A712652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PIB_Corp_Peru!$C$3:$K$3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</c:numCache>
            </c:numRef>
          </c:cat>
          <c:val>
            <c:numRef>
              <c:f>PIB_Corp_Peru!$C$4:$K$4</c:f>
              <c:numCache>
                <c:formatCode>0.0</c:formatCode>
                <c:ptCount val="9"/>
                <c:pt idx="0">
                  <c:v>-10.94</c:v>
                </c:pt>
                <c:pt idx="1">
                  <c:v>13.42</c:v>
                </c:pt>
                <c:pt idx="2">
                  <c:v>2.82</c:v>
                </c:pt>
                <c:pt idx="3">
                  <c:v>-0.35</c:v>
                </c:pt>
                <c:pt idx="4">
                  <c:v>3.51</c:v>
                </c:pt>
                <c:pt idx="5">
                  <c:v>3.44</c:v>
                </c:pt>
                <c:pt idx="6">
                  <c:v>2.79</c:v>
                </c:pt>
                <c:pt idx="7">
                  <c:v>2.89</c:v>
                </c:pt>
                <c:pt idx="8">
                  <c:v>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5-4050-980E-492A7126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14831"/>
        <c:axId val="521513391"/>
      </c:barChart>
      <c:catAx>
        <c:axId val="52151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3391"/>
        <c:crosses val="autoZero"/>
        <c:auto val="1"/>
        <c:lblAlgn val="ctr"/>
        <c:lblOffset val="100"/>
        <c:noMultiLvlLbl val="0"/>
      </c:catAx>
      <c:valAx>
        <c:axId val="52151339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52151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Consumer</a:t>
            </a:r>
            <a:r>
              <a:rPr lang="es-CO" baseline="0"/>
              <a:t> EBITDA Margin &amp; Net Leverage Average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PIB_Corp_Peru!$I$35</c:f>
              <c:strCache>
                <c:ptCount val="1"/>
                <c:pt idx="0">
                  <c:v>EBITDA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PIB_Corp_Peru!$J$34:$M$34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PIB_Corp_Peru!$J$35:$M$35</c:f>
              <c:numCache>
                <c:formatCode>0.0%</c:formatCode>
                <c:ptCount val="4"/>
                <c:pt idx="0">
                  <c:v>9.8800000000000013E-2</c:v>
                </c:pt>
                <c:pt idx="1">
                  <c:v>9.760000000000002E-2</c:v>
                </c:pt>
                <c:pt idx="2">
                  <c:v>9.8800000000000013E-2</c:v>
                </c:pt>
                <c:pt idx="3">
                  <c:v>0.1002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9-4E2D-9B60-F84209E10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56095"/>
        <c:axId val="439550335"/>
      </c:lineChart>
      <c:lineChart>
        <c:grouping val="standard"/>
        <c:varyColors val="0"/>
        <c:ser>
          <c:idx val="1"/>
          <c:order val="1"/>
          <c:tx>
            <c:strRef>
              <c:f>PIB_Corp_Peru!$I$36</c:f>
              <c:strCache>
                <c:ptCount val="1"/>
                <c:pt idx="0">
                  <c:v>Net Leverage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PIB_Corp_Peru!$J$34:$M$34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2026E</c:v>
                </c:pt>
                <c:pt idx="3">
                  <c:v>2027E</c:v>
                </c:pt>
              </c:strCache>
            </c:strRef>
          </c:cat>
          <c:val>
            <c:numRef>
              <c:f>PIB_Corp_Peru!$J$36:$M$36</c:f>
              <c:numCache>
                <c:formatCode>#,##0.0"x"_)</c:formatCode>
                <c:ptCount val="4"/>
                <c:pt idx="0">
                  <c:v>2.12</c:v>
                </c:pt>
                <c:pt idx="1">
                  <c:v>1.9600000000000002</c:v>
                </c:pt>
                <c:pt idx="2">
                  <c:v>1.8</c:v>
                </c:pt>
                <c:pt idx="3">
                  <c:v>1.6199999999999999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9-4E2D-9B60-F84209E10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44575"/>
        <c:axId val="439545535"/>
      </c:lineChart>
      <c:catAx>
        <c:axId val="4395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0335"/>
        <c:crosses val="autoZero"/>
        <c:auto val="1"/>
        <c:lblAlgn val="ctr"/>
        <c:lblOffset val="100"/>
        <c:noMultiLvlLbl val="0"/>
      </c:catAx>
      <c:valAx>
        <c:axId val="439550335"/>
        <c:scaling>
          <c:orientation val="minMax"/>
          <c:max val="0.12000000000000001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56095"/>
        <c:crosses val="autoZero"/>
        <c:crossBetween val="between"/>
      </c:valAx>
      <c:valAx>
        <c:axId val="439545535"/>
        <c:scaling>
          <c:orientation val="minMax"/>
        </c:scaling>
        <c:delete val="0"/>
        <c:axPos val="r"/>
        <c:numFmt formatCode="#,##0.0&quot;x&quot;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9544575"/>
        <c:crosses val="max"/>
        <c:crossBetween val="between"/>
      </c:valAx>
      <c:catAx>
        <c:axId val="43954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545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263525</xdr:colOff>
      <xdr:row>5</xdr:row>
      <xdr:rowOff>10390</xdr:rowOff>
    </xdr:from>
    <xdr:to>
      <xdr:col>20</xdr:col>
      <xdr:colOff>234965</xdr:colOff>
      <xdr:row>23</xdr:row>
      <xdr:rowOff>173660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4</xdr:row>
      <xdr:rowOff>178665</xdr:rowOff>
    </xdr:from>
    <xdr:to>
      <xdr:col>19</xdr:col>
      <xdr:colOff>164755</xdr:colOff>
      <xdr:row>23</xdr:row>
      <xdr:rowOff>151435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200025</xdr:colOff>
      <xdr:row>4</xdr:row>
      <xdr:rowOff>153265</xdr:rowOff>
    </xdr:from>
    <xdr:to>
      <xdr:col>20</xdr:col>
      <xdr:colOff>171465</xdr:colOff>
      <xdr:row>23</xdr:row>
      <xdr:rowOff>126035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5</xdr:row>
      <xdr:rowOff>16740</xdr:rowOff>
    </xdr:from>
    <xdr:to>
      <xdr:col>19</xdr:col>
      <xdr:colOff>266355</xdr:colOff>
      <xdr:row>23</xdr:row>
      <xdr:rowOff>170485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425450</xdr:colOff>
      <xdr:row>4</xdr:row>
      <xdr:rowOff>92940</xdr:rowOff>
    </xdr:from>
    <xdr:to>
      <xdr:col>21</xdr:col>
      <xdr:colOff>400065</xdr:colOff>
      <xdr:row>23</xdr:row>
      <xdr:rowOff>56185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431799</xdr:colOff>
      <xdr:row>23</xdr:row>
      <xdr:rowOff>163512</xdr:rowOff>
    </xdr:from>
    <xdr:to>
      <xdr:col>21</xdr:col>
      <xdr:colOff>441324</xdr:colOff>
      <xdr:row>42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55A2130-9D17-83A5-F63B-82EC83DBA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66675</xdr:colOff>
      <xdr:row>12</xdr:row>
      <xdr:rowOff>0</xdr:rowOff>
    </xdr:from>
    <xdr:to>
      <xdr:col>35</xdr:col>
      <xdr:colOff>34940</xdr:colOff>
      <xdr:row>30</xdr:row>
      <xdr:rowOff>163270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3EF120F9-6AEA-4536-B164-6A6221EA8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215900</xdr:colOff>
      <xdr:row>5</xdr:row>
      <xdr:rowOff>19915</xdr:rowOff>
    </xdr:from>
    <xdr:to>
      <xdr:col>19</xdr:col>
      <xdr:colOff>190515</xdr:colOff>
      <xdr:row>23</xdr:row>
      <xdr:rowOff>180010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88898</xdr:colOff>
      <xdr:row>4</xdr:row>
      <xdr:rowOff>11111</xdr:rowOff>
    </xdr:from>
    <xdr:to>
      <xdr:col>19</xdr:col>
      <xdr:colOff>190499</xdr:colOff>
      <xdr:row>29</xdr:row>
      <xdr:rowOff>133349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B62521-5FD4-1858-CD1C-E5F445DB7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5</xdr:row>
      <xdr:rowOff>11113</xdr:rowOff>
    </xdr:from>
    <xdr:to>
      <xdr:col>10</xdr:col>
      <xdr:colOff>523875</xdr:colOff>
      <xdr:row>19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64AEA0-C73E-B9EA-6949-CC6B815E7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552449</xdr:colOff>
      <xdr:row>35</xdr:row>
      <xdr:rowOff>1586</xdr:rowOff>
    </xdr:from>
    <xdr:to>
      <xdr:col>16</xdr:col>
      <xdr:colOff>488949</xdr:colOff>
      <xdr:row>53</xdr:row>
      <xdr:rowOff>146049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433C84-6A22-477E-B682-76FEB22DC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5</xdr:row>
      <xdr:rowOff>11113</xdr:rowOff>
    </xdr:from>
    <xdr:to>
      <xdr:col>10</xdr:col>
      <xdr:colOff>523875</xdr:colOff>
      <xdr:row>19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A05790-0E8C-4436-99FD-7D5EB604F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552449</xdr:colOff>
      <xdr:row>37</xdr:row>
      <xdr:rowOff>1586</xdr:rowOff>
    </xdr:from>
    <xdr:to>
      <xdr:col>16</xdr:col>
      <xdr:colOff>488949</xdr:colOff>
      <xdr:row>55</xdr:row>
      <xdr:rowOff>146049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C36BD0-D62C-4B7E-B0A2-B9CB688D5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5</xdr:row>
      <xdr:rowOff>11113</xdr:rowOff>
    </xdr:from>
    <xdr:to>
      <xdr:col>10</xdr:col>
      <xdr:colOff>523875</xdr:colOff>
      <xdr:row>19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B01662-B136-4093-AEFA-CDE80EFAD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552449</xdr:colOff>
      <xdr:row>37</xdr:row>
      <xdr:rowOff>1586</xdr:rowOff>
    </xdr:from>
    <xdr:to>
      <xdr:col>16</xdr:col>
      <xdr:colOff>488949</xdr:colOff>
      <xdr:row>55</xdr:row>
      <xdr:rowOff>146049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A75FAE-968A-4D0E-AC1F-584F93606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5</xdr:row>
      <xdr:rowOff>11113</xdr:rowOff>
    </xdr:from>
    <xdr:to>
      <xdr:col>10</xdr:col>
      <xdr:colOff>523875</xdr:colOff>
      <xdr:row>19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ADF2F4-62E0-4312-A32D-42A2C04D8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552449</xdr:colOff>
      <xdr:row>44</xdr:row>
      <xdr:rowOff>1586</xdr:rowOff>
    </xdr:from>
    <xdr:to>
      <xdr:col>16</xdr:col>
      <xdr:colOff>488949</xdr:colOff>
      <xdr:row>62</xdr:row>
      <xdr:rowOff>146049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B329F3-391E-449B-BFB6-216DBDD44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5</xdr:row>
      <xdr:rowOff>11113</xdr:rowOff>
    </xdr:from>
    <xdr:to>
      <xdr:col>10</xdr:col>
      <xdr:colOff>523875</xdr:colOff>
      <xdr:row>19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78832D-8588-41E6-B89E-F7ED495CB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552449</xdr:colOff>
      <xdr:row>37</xdr:row>
      <xdr:rowOff>1586</xdr:rowOff>
    </xdr:from>
    <xdr:to>
      <xdr:col>16</xdr:col>
      <xdr:colOff>488949</xdr:colOff>
      <xdr:row>55</xdr:row>
      <xdr:rowOff>146049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A93E54-A591-4667-98E9-5738BD495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Sura">
  <a:themeElements>
    <a:clrScheme name="SURA INVESTMENTS">
      <a:dk1>
        <a:srgbClr val="161618"/>
      </a:dk1>
      <a:lt1>
        <a:srgbClr val="FFFFFF"/>
      </a:lt1>
      <a:dk2>
        <a:srgbClr val="24272A"/>
      </a:dk2>
      <a:lt2>
        <a:srgbClr val="EFEFEF"/>
      </a:lt2>
      <a:accent1>
        <a:srgbClr val="0A2CCE"/>
      </a:accent1>
      <a:accent2>
        <a:srgbClr val="FFE945"/>
      </a:accent2>
      <a:accent3>
        <a:srgbClr val="59646E"/>
      </a:accent3>
      <a:accent4>
        <a:srgbClr val="98A3AE"/>
      </a:accent4>
      <a:accent5>
        <a:srgbClr val="000000"/>
      </a:accent5>
      <a:accent6>
        <a:srgbClr val="24272A"/>
      </a:accent6>
      <a:hlink>
        <a:srgbClr val="0B2CCE"/>
      </a:hlink>
      <a:folHlink>
        <a:srgbClr val="717171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33A0"/>
        </a:solidFill>
        <a:ln>
          <a:noFill/>
        </a:ln>
        <a:effectLst/>
      </a:spPr>
      <a:bodyPr anchor="ctr"/>
      <a:lstStyle>
        <a:defPPr algn="ctr" defTabSz="608853">
          <a:defRPr/>
        </a:defPPr>
      </a:lstStyle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>
        <a:ln>
          <a:solidFill>
            <a:srgbClr val="3190CF"/>
          </a:solidFill>
        </a:ln>
        <a:effectLst/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none" rtlCol="0">
        <a:spAutoFit/>
      </a:bodyPr>
      <a:lstStyle>
        <a:defPPr algn="ctr">
          <a:defRPr dirty="0" err="1" smtClean="0">
            <a:solidFill>
              <a:srgbClr val="686968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URA_TEMA" id="{1C9A749D-2F70-E943-BAD5-40C0A7CFC650}" vid="{1E3E52B1-948C-B04E-9C51-9CE290CBFDC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s://www.inegi.org.mx/temas/inpc/" TargetMode="External"/><Relationship Id="rId1" Type="http://schemas.openxmlformats.org/officeDocument/2006/relationships/hyperlink" Target="https://www.bls.gov/charts/consumer-price-index/consumer-price-index-by-category-line-chart.ht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nxico.org.mx/SieInternet/consultarDirectorioInternetAction.do?accion=consultarCuadro&amp;idCuadro=CF101&amp;sector=18&amp;locale=es" TargetMode="External"/><Relationship Id="rId2" Type="http://schemas.openxmlformats.org/officeDocument/2006/relationships/hyperlink" Target="https://suameca.banrep.gov.co/estadisticas-economicas/informacionSerie/59/tasas_interes_politica_monetaria" TargetMode="External"/><Relationship Id="rId1" Type="http://schemas.openxmlformats.org/officeDocument/2006/relationships/hyperlink" Target="https://fred.stlouisfed.org/series/fedfunds" TargetMode="External"/><Relationship Id="rId4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egi.org.mx/contenidos/programas/enco/tabulados/enco_b_indicador_de_confianza_del_consumidor.xlsx" TargetMode="External"/><Relationship Id="rId18" Type="http://schemas.openxmlformats.org/officeDocument/2006/relationships/hyperlink" Target="https://si3.bcentral.cl/estadisticas/Principal1/excel/CCNN/IMACEC/Excel/IMACEC.xlsx" TargetMode="External"/><Relationship Id="rId26" Type="http://schemas.openxmlformats.org/officeDocument/2006/relationships/hyperlink" Target="https://si3.bcentral.cl/siete/ES/Siete/Cuadro/CAP_BDP/MN_EXP_EC11/EXE_IMCE_TOTAL" TargetMode="External"/><Relationship Id="rId3" Type="http://schemas.openxmlformats.org/officeDocument/2006/relationships/hyperlink" Target="https://www.inegi.org.mx/contenidos/programas/igae/2018/tabulados/ori/IGAE_2.xlsx" TargetMode="External"/><Relationship Id="rId21" Type="http://schemas.openxmlformats.org/officeDocument/2006/relationships/hyperlink" Target="https://www.ibge.gov.br/estatisticas/economicas/comercio/9227-pesquisa-mensal-de-comercio.html" TargetMode="External"/><Relationship Id="rId34" Type="http://schemas.openxmlformats.org/officeDocument/2006/relationships/hyperlink" Target="https://www.inegi.org.mx/temas/inpc/" TargetMode="External"/><Relationship Id="rId7" Type="http://schemas.openxmlformats.org/officeDocument/2006/relationships/hyperlink" Target="https://www.inegi.org.mx/app/tabulados/interactivos/?px=EMEC_NACIONAL_0&amp;bd=EMEC" TargetMode="External"/><Relationship Id="rId12" Type="http://schemas.openxmlformats.org/officeDocument/2006/relationships/hyperlink" Target="https://www.repository.fedesarrollo.org.co/handle/11445/36" TargetMode="External"/><Relationship Id="rId17" Type="http://schemas.openxmlformats.org/officeDocument/2006/relationships/hyperlink" Target="https://antad.net/" TargetMode="External"/><Relationship Id="rId25" Type="http://schemas.openxmlformats.org/officeDocument/2006/relationships/hyperlink" Target="https://si3.bcentral.cl/siete/ES/Siete/Cuadro/CAP_BDP/MN_EXP_EC11/EXE_IMCE_TOTAL" TargetMode="External"/><Relationship Id="rId33" Type="http://schemas.openxmlformats.org/officeDocument/2006/relationships/hyperlink" Target="https://www.dane.gov.co/index.php/estadisticas-por-tema/precios-y-costos/indice-de-precios-al-consumidor-ipc" TargetMode="External"/><Relationship Id="rId2" Type="http://schemas.openxmlformats.org/officeDocument/2006/relationships/hyperlink" Target="https://www.dane.gov.co/index.php/estadisticas-por-tema/cuentas-nacionales/indicador-de-seguimiento-a-la-economia-ise" TargetMode="External"/><Relationship Id="rId16" Type="http://schemas.openxmlformats.org/officeDocument/2006/relationships/hyperlink" Target="https://www.inegi.org.mx/temas/inpc/" TargetMode="External"/><Relationship Id="rId20" Type="http://schemas.openxmlformats.org/officeDocument/2006/relationships/hyperlink" Target="https://www.inegi.org.mx/contenidos/programas/igae/2018/tabulados/ori/IGAE_2.xlsx" TargetMode="External"/><Relationship Id="rId29" Type="http://schemas.openxmlformats.org/officeDocument/2006/relationships/hyperlink" Target="https://si3.bcentral.cl/Siete/ES/Siete/Cuadro/CAP_EXP_ECO/MN_EXP_EC11/IPSOS_ICC_M/638427307428609836%20(el%20segundo%20link%20que%20pasaste,%20el%20primero%20est&#225;%20roto)" TargetMode="External"/><Relationship Id="rId1" Type="http://schemas.openxmlformats.org/officeDocument/2006/relationships/hyperlink" Target="https://si3.bcentral.cl/estadisticas/Principal1/excel/CCNN/IMACEC/Excel/IMACEC.xlsx" TargetMode="External"/><Relationship Id="rId6" Type="http://schemas.openxmlformats.org/officeDocument/2006/relationships/hyperlink" Target="https://www.dane.gov.co/index.php/estadisticas-por-tema/comercio-interno/encuesta-mensual-de-comercio-emc" TargetMode="External"/><Relationship Id="rId11" Type="http://schemas.openxmlformats.org/officeDocument/2006/relationships/hyperlink" Target="https://si3.bcentral.cl/Siete/ES/Siete/Cuadro/CAP_EXP_ECO/MN_EXP_EC11/IPSOS_ICC_M/638427307428609836" TargetMode="External"/><Relationship Id="rId24" Type="http://schemas.openxmlformats.org/officeDocument/2006/relationships/hyperlink" Target="https://www.inegi.org.mx/app/tabulados/interactivos/?px=EMEC_NACIONAL_0&amp;bd=EMEC" TargetMode="External"/><Relationship Id="rId32" Type="http://schemas.openxmlformats.org/officeDocument/2006/relationships/hyperlink" Target="https://si3.bcentral.cl/Siete/ES/Siete/Cuadro/CAP_PRECIOS/MN_CAP_PRECIOS/IPC_VAR_ANUAL_HIST_NEW" TargetMode="External"/><Relationship Id="rId5" Type="http://schemas.openxmlformats.org/officeDocument/2006/relationships/hyperlink" Target="https://www.ine.gob.cl/docs/default-source/actividad-mensual-del-comercio/cuadros-estadisticos/base-promedio-a%C3%B1o-2018-100/series-mensuales-desde-enero-de-2018-a-la-fecha.xlsx" TargetMode="External"/><Relationship Id="rId15" Type="http://schemas.openxmlformats.org/officeDocument/2006/relationships/hyperlink" Target="https://www.dane.gov.co/index.php/estadisticas-por-tema/precios-y-costos/indice-de-precios-al-consumidor-ipc" TargetMode="External"/><Relationship Id="rId23" Type="http://schemas.openxmlformats.org/officeDocument/2006/relationships/hyperlink" Target="https://www.dane.gov.co/index.php/estadisticas-por-tema/comercio-interno/encuesta-mensual-de-comercio-emc" TargetMode="External"/><Relationship Id="rId28" Type="http://schemas.openxmlformats.org/officeDocument/2006/relationships/hyperlink" Target="https://www.inegi.org.mx/app/tabulados/default.html?nc=100100061&amp;idrt=28&amp;opc=t" TargetMode="External"/><Relationship Id="rId10" Type="http://schemas.openxmlformats.org/officeDocument/2006/relationships/hyperlink" Target="https://www.inegi.org.mx/app/tabulados/default.html?nc=100100061&amp;idrt=28&amp;opc=t" TargetMode="External"/><Relationship Id="rId19" Type="http://schemas.openxmlformats.org/officeDocument/2006/relationships/hyperlink" Target="https://www.dane.gov.co/index.php/estadisticas-por-tema/cuentas-nacionales/indicador-de-seguimiento-a-la-economia-ise" TargetMode="External"/><Relationship Id="rId31" Type="http://schemas.openxmlformats.org/officeDocument/2006/relationships/hyperlink" Target="https://www.inegi.org.mx/contenidos/programas/enco/tabulados/enco_b_indicador_de_confianza_del_consumidor.xlsx" TargetMode="External"/><Relationship Id="rId4" Type="http://schemas.openxmlformats.org/officeDocument/2006/relationships/hyperlink" Target="https://www.ibge.gov.br/estatisticas/economicas/comercio/9227-pesquisa-mensal-de-comercio.html" TargetMode="External"/><Relationship Id="rId9" Type="http://schemas.openxmlformats.org/officeDocument/2006/relationships/hyperlink" Target="https://www.repository.fedesarrollo.org.co/handle/11445/37" TargetMode="External"/><Relationship Id="rId14" Type="http://schemas.openxmlformats.org/officeDocument/2006/relationships/hyperlink" Target="https://si3.bcentral.cl/Siete/ES/Siete/Cuadro/CAP_PRECIOS/MN_CAP_PRECIOS/IPC_VAR_ANUAL_HIST_NEW" TargetMode="External"/><Relationship Id="rId22" Type="http://schemas.openxmlformats.org/officeDocument/2006/relationships/hyperlink" Target="https://www.ine.gob.cl/docs/default-source/actividad-mensual-del-comercio/cuadros-estadisticos/base-promedio-a&#241;o-2018-100/series-mensuales-desde-enero-de-2018-a-la-fecha.xlsx" TargetMode="External"/><Relationship Id="rId27" Type="http://schemas.openxmlformats.org/officeDocument/2006/relationships/hyperlink" Target="https://www.repository.fedesarrollo.org.co/handle/11445/37" TargetMode="External"/><Relationship Id="rId30" Type="http://schemas.openxmlformats.org/officeDocument/2006/relationships/hyperlink" Target="https://www.repository.fedesarrollo.org.co/handle/11445/36" TargetMode="External"/><Relationship Id="rId8" Type="http://schemas.openxmlformats.org/officeDocument/2006/relationships/hyperlink" Target="https://www.portaldaindustria.com.br/estatisticas/icei-indice-de-confianca-do-empresario-industrial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51"/>
  <sheetViews>
    <sheetView showGridLines="0" zoomScaleNormal="100" workbookViewId="0">
      <selection activeCell="A18" sqref="A18"/>
    </sheetView>
  </sheetViews>
  <sheetFormatPr baseColWidth="10" defaultColWidth="8.7265625" defaultRowHeight="16" x14ac:dyDescent="0.4"/>
  <cols>
    <col min="1" max="1" width="3" style="43" customWidth="1"/>
    <col min="2" max="2" width="28" style="43" customWidth="1"/>
    <col min="3" max="3" width="50" style="43" customWidth="1"/>
    <col min="4" max="4" width="25" style="43" customWidth="1"/>
    <col min="5" max="16384" width="8.7265625" style="43"/>
  </cols>
  <sheetData>
    <row r="2" spans="2:4" ht="26.25" customHeight="1" x14ac:dyDescent="0.7">
      <c r="B2" s="42" t="s">
        <v>0</v>
      </c>
    </row>
    <row r="3" spans="2:4" ht="15" customHeight="1" x14ac:dyDescent="0.4">
      <c r="B3" s="44" t="s">
        <v>1</v>
      </c>
    </row>
    <row r="4" spans="2:4" ht="15" customHeight="1" x14ac:dyDescent="0.4">
      <c r="B4" s="45" t="s">
        <v>2</v>
      </c>
    </row>
    <row r="5" spans="2:4" ht="15" customHeight="1" x14ac:dyDescent="0.4">
      <c r="B5" s="45" t="s">
        <v>3</v>
      </c>
    </row>
    <row r="7" spans="2:4" ht="15" customHeight="1" x14ac:dyDescent="0.4">
      <c r="B7" s="46" t="s">
        <v>4</v>
      </c>
    </row>
    <row r="8" spans="2:4" ht="15" customHeight="1" x14ac:dyDescent="0.4">
      <c r="B8" s="47" t="s">
        <v>5</v>
      </c>
      <c r="C8" s="48" t="s">
        <v>6</v>
      </c>
    </row>
    <row r="9" spans="2:4" ht="15" customHeight="1" x14ac:dyDescent="0.4">
      <c r="B9" s="49" t="s">
        <v>7</v>
      </c>
      <c r="C9" s="48" t="s">
        <v>8</v>
      </c>
    </row>
    <row r="10" spans="2:4" ht="15" customHeight="1" x14ac:dyDescent="0.4">
      <c r="B10" s="50" t="s">
        <v>9</v>
      </c>
      <c r="C10" s="48" t="s">
        <v>10</v>
      </c>
    </row>
    <row r="11" spans="2:4" ht="15" customHeight="1" x14ac:dyDescent="0.4">
      <c r="B11" s="51" t="s">
        <v>11</v>
      </c>
      <c r="C11" s="48" t="s">
        <v>12</v>
      </c>
    </row>
    <row r="12" spans="2:4" ht="15" customHeight="1" x14ac:dyDescent="0.4">
      <c r="B12" s="52" t="s">
        <v>13</v>
      </c>
      <c r="C12" s="48" t="s">
        <v>14</v>
      </c>
    </row>
    <row r="13" spans="2:4" ht="15" customHeight="1" x14ac:dyDescent="0.4">
      <c r="B13" s="52" t="s">
        <v>15</v>
      </c>
      <c r="C13" s="48" t="s">
        <v>16</v>
      </c>
    </row>
    <row r="16" spans="2:4" ht="15" customHeight="1" x14ac:dyDescent="0.4">
      <c r="B16" s="53" t="s">
        <v>23</v>
      </c>
      <c r="C16" s="53"/>
      <c r="D16" s="53"/>
    </row>
    <row r="17" spans="2:7" ht="15" customHeight="1" x14ac:dyDescent="0.4">
      <c r="B17" s="54" t="s">
        <v>24</v>
      </c>
      <c r="C17" s="54"/>
      <c r="D17" s="54"/>
    </row>
    <row r="18" spans="2:7" ht="15" customHeight="1" x14ac:dyDescent="0.4">
      <c r="B18" s="54" t="s">
        <v>25</v>
      </c>
      <c r="C18" s="54"/>
      <c r="D18" s="54"/>
    </row>
    <row r="19" spans="2:7" ht="15" customHeight="1" x14ac:dyDescent="0.4">
      <c r="B19" s="54" t="s">
        <v>26</v>
      </c>
      <c r="C19" s="54"/>
      <c r="D19" s="54"/>
    </row>
    <row r="20" spans="2:7" ht="15" customHeight="1" x14ac:dyDescent="0.4">
      <c r="B20" s="54" t="s">
        <v>27</v>
      </c>
      <c r="C20" s="54"/>
      <c r="D20" s="54"/>
    </row>
    <row r="21" spans="2:7" ht="15" customHeight="1" x14ac:dyDescent="0.4">
      <c r="B21" s="54" t="s">
        <v>28</v>
      </c>
      <c r="C21" s="54"/>
      <c r="D21" s="54"/>
    </row>
    <row r="22" spans="2:7" ht="15" customHeight="1" x14ac:dyDescent="0.4">
      <c r="B22" s="54" t="s">
        <v>29</v>
      </c>
      <c r="C22" s="54"/>
      <c r="D22" s="54"/>
    </row>
    <row r="23" spans="2:7" ht="15" customHeight="1" x14ac:dyDescent="0.4">
      <c r="B23" s="54"/>
      <c r="C23" s="54"/>
      <c r="D23" s="54"/>
    </row>
    <row r="24" spans="2:7" ht="15" customHeight="1" x14ac:dyDescent="0.4">
      <c r="B24" s="54" t="s">
        <v>30</v>
      </c>
      <c r="C24" s="54"/>
      <c r="D24" s="54"/>
    </row>
    <row r="25" spans="2:7" ht="15" customHeight="1" x14ac:dyDescent="0.4">
      <c r="B25" s="54" t="s">
        <v>31</v>
      </c>
      <c r="C25" s="54"/>
      <c r="D25" s="54"/>
    </row>
    <row r="26" spans="2:7" ht="15" customHeight="1" x14ac:dyDescent="0.4">
      <c r="B26" s="54" t="s">
        <v>32</v>
      </c>
      <c r="C26" s="54"/>
      <c r="D26" s="54"/>
    </row>
    <row r="27" spans="2:7" ht="15" customHeight="1" x14ac:dyDescent="0.4">
      <c r="B27" s="48" t="s">
        <v>33</v>
      </c>
    </row>
    <row r="29" spans="2:7" ht="16.5" x14ac:dyDescent="0.4">
      <c r="B29" s="46" t="s">
        <v>34</v>
      </c>
    </row>
    <row r="31" spans="2:7" x14ac:dyDescent="0.4">
      <c r="B31" s="55" t="s">
        <v>35</v>
      </c>
      <c r="C31" s="55" t="s">
        <v>36</v>
      </c>
      <c r="D31" s="55" t="s">
        <v>37</v>
      </c>
      <c r="E31" s="55" t="s">
        <v>38</v>
      </c>
      <c r="F31" s="55" t="s">
        <v>39</v>
      </c>
      <c r="G31" s="55" t="s">
        <v>40</v>
      </c>
    </row>
    <row r="32" spans="2:7" x14ac:dyDescent="0.4">
      <c r="B32" s="56" t="s">
        <v>17</v>
      </c>
      <c r="C32" s="57" t="s">
        <v>41</v>
      </c>
      <c r="D32" s="58" t="s">
        <v>42</v>
      </c>
      <c r="E32" s="58" t="s">
        <v>42</v>
      </c>
      <c r="F32" s="58" t="s">
        <v>42</v>
      </c>
      <c r="G32" s="57" t="s">
        <v>41</v>
      </c>
    </row>
    <row r="33" spans="2:7" x14ac:dyDescent="0.4">
      <c r="B33" s="56" t="s">
        <v>18</v>
      </c>
      <c r="C33" s="58" t="s">
        <v>42</v>
      </c>
      <c r="D33" s="58" t="s">
        <v>42</v>
      </c>
      <c r="E33" s="58" t="s">
        <v>42</v>
      </c>
      <c r="F33" s="58" t="s">
        <v>42</v>
      </c>
      <c r="G33" s="59" t="s">
        <v>43</v>
      </c>
    </row>
    <row r="34" spans="2:7" x14ac:dyDescent="0.4">
      <c r="B34" s="56" t="s">
        <v>19</v>
      </c>
      <c r="C34" s="60" t="s">
        <v>44</v>
      </c>
      <c r="D34" s="58" t="s">
        <v>42</v>
      </c>
      <c r="E34" s="58" t="s">
        <v>42</v>
      </c>
      <c r="F34" s="58" t="s">
        <v>42</v>
      </c>
      <c r="G34" s="57" t="s">
        <v>41</v>
      </c>
    </row>
    <row r="35" spans="2:7" x14ac:dyDescent="0.4">
      <c r="B35" s="56" t="s">
        <v>20</v>
      </c>
      <c r="C35" s="57" t="s">
        <v>41</v>
      </c>
      <c r="D35" s="58" t="s">
        <v>42</v>
      </c>
      <c r="E35" s="58" t="s">
        <v>42</v>
      </c>
      <c r="F35" s="58" t="s">
        <v>42</v>
      </c>
      <c r="G35" s="59" t="s">
        <v>43</v>
      </c>
    </row>
    <row r="36" spans="2:7" x14ac:dyDescent="0.4">
      <c r="B36" s="56" t="s">
        <v>21</v>
      </c>
      <c r="C36" s="57" t="s">
        <v>41</v>
      </c>
      <c r="D36" s="58" t="s">
        <v>42</v>
      </c>
      <c r="E36" s="58" t="s">
        <v>42</v>
      </c>
      <c r="F36" s="58" t="s">
        <v>42</v>
      </c>
      <c r="G36" s="57" t="s">
        <v>41</v>
      </c>
    </row>
    <row r="37" spans="2:7" x14ac:dyDescent="0.4">
      <c r="B37" s="56" t="s">
        <v>22</v>
      </c>
      <c r="C37" s="59" t="s">
        <v>43</v>
      </c>
      <c r="D37" s="59" t="s">
        <v>43</v>
      </c>
      <c r="E37" s="59" t="s">
        <v>43</v>
      </c>
      <c r="F37" s="60" t="s">
        <v>44</v>
      </c>
      <c r="G37" s="59" t="s">
        <v>43</v>
      </c>
    </row>
    <row r="39" spans="2:7" ht="16.5" x14ac:dyDescent="0.4">
      <c r="B39" s="46" t="s">
        <v>45</v>
      </c>
    </row>
    <row r="41" spans="2:7" x14ac:dyDescent="0.4">
      <c r="B41" s="54" t="s">
        <v>46</v>
      </c>
      <c r="C41" s="54"/>
      <c r="D41" s="54"/>
      <c r="E41" s="54"/>
      <c r="F41" s="54"/>
    </row>
    <row r="42" spans="2:7" x14ac:dyDescent="0.4">
      <c r="B42" s="54" t="s">
        <v>47</v>
      </c>
      <c r="C42" s="54"/>
      <c r="D42" s="54"/>
      <c r="E42" s="54"/>
      <c r="F42" s="54"/>
    </row>
    <row r="43" spans="2:7" x14ac:dyDescent="0.4">
      <c r="B43" s="54" t="s">
        <v>48</v>
      </c>
      <c r="C43" s="54"/>
      <c r="D43" s="54"/>
      <c r="E43" s="54"/>
      <c r="F43" s="54"/>
    </row>
    <row r="44" spans="2:7" x14ac:dyDescent="0.4">
      <c r="B44" s="54" t="s">
        <v>49</v>
      </c>
      <c r="C44" s="54"/>
      <c r="D44" s="54"/>
      <c r="E44" s="54"/>
      <c r="F44" s="54"/>
    </row>
    <row r="45" spans="2:7" x14ac:dyDescent="0.4">
      <c r="B45" s="54" t="s">
        <v>50</v>
      </c>
      <c r="C45" s="54"/>
      <c r="D45" s="54"/>
      <c r="E45" s="54"/>
      <c r="F45" s="54"/>
    </row>
    <row r="46" spans="2:7" x14ac:dyDescent="0.4">
      <c r="B46" s="54" t="s">
        <v>51</v>
      </c>
      <c r="C46" s="54"/>
      <c r="D46" s="54"/>
      <c r="E46" s="54"/>
      <c r="F46" s="54"/>
    </row>
    <row r="47" spans="2:7" x14ac:dyDescent="0.4">
      <c r="B47" s="54" t="s">
        <v>52</v>
      </c>
      <c r="C47" s="54"/>
      <c r="D47" s="54"/>
      <c r="E47" s="54"/>
      <c r="F47" s="54"/>
    </row>
    <row r="48" spans="2:7" x14ac:dyDescent="0.4">
      <c r="B48" s="54" t="s">
        <v>53</v>
      </c>
      <c r="C48" s="54"/>
      <c r="D48" s="54"/>
      <c r="E48" s="54"/>
      <c r="F48" s="54"/>
    </row>
    <row r="49" spans="2:6" x14ac:dyDescent="0.4">
      <c r="B49" s="54" t="s">
        <v>54</v>
      </c>
      <c r="C49" s="54"/>
      <c r="D49" s="54"/>
      <c r="E49" s="54"/>
      <c r="F49" s="54"/>
    </row>
    <row r="50" spans="2:6" x14ac:dyDescent="0.4">
      <c r="B50" s="54" t="s">
        <v>55</v>
      </c>
      <c r="C50" s="54"/>
      <c r="D50" s="54"/>
      <c r="E50" s="54"/>
      <c r="F50" s="54"/>
    </row>
    <row r="51" spans="2:6" x14ac:dyDescent="0.4">
      <c r="B51" s="54" t="s">
        <v>56</v>
      </c>
      <c r="C51" s="54"/>
      <c r="D51" s="54"/>
      <c r="E51" s="54"/>
      <c r="F51" s="54"/>
    </row>
  </sheetData>
  <mergeCells count="22"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41:F41"/>
    <mergeCell ref="B42:F42"/>
    <mergeCell ref="B43:F43"/>
    <mergeCell ref="B44:F44"/>
    <mergeCell ref="B50:F50"/>
    <mergeCell ref="B51:F51"/>
    <mergeCell ref="B45:F45"/>
    <mergeCell ref="B46:F46"/>
    <mergeCell ref="B47:F47"/>
    <mergeCell ref="B48:F48"/>
    <mergeCell ref="B49:F49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93"/>
  <sheetViews>
    <sheetView showGridLines="0" zoomScaleNormal="100" workbookViewId="0">
      <selection activeCell="A19" sqref="A19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7" width="12" customWidth="1"/>
  </cols>
  <sheetData>
    <row r="2" spans="2:7" ht="19.5" customHeight="1" x14ac:dyDescent="0.4">
      <c r="B2" s="62" t="s">
        <v>57</v>
      </c>
    </row>
    <row r="3" spans="2:7" ht="15" customHeight="1" x14ac:dyDescent="0.35">
      <c r="B3" s="1" t="s">
        <v>58</v>
      </c>
    </row>
    <row r="5" spans="2:7" ht="15" customHeight="1" x14ac:dyDescent="0.4">
      <c r="B5" s="67" t="s">
        <v>136</v>
      </c>
      <c r="C5" s="15"/>
      <c r="D5" s="15"/>
      <c r="E5" s="15"/>
      <c r="F5" s="15"/>
      <c r="G5" s="15"/>
    </row>
    <row r="6" spans="2:7" ht="15" customHeight="1" x14ac:dyDescent="0.35">
      <c r="B6" s="84" t="s">
        <v>59</v>
      </c>
      <c r="C6" s="84" t="s">
        <v>60</v>
      </c>
      <c r="D6" s="84" t="s">
        <v>61</v>
      </c>
      <c r="E6" s="84" t="s">
        <v>62</v>
      </c>
      <c r="F6" s="84" t="s">
        <v>63</v>
      </c>
      <c r="G6" s="84" t="s">
        <v>64</v>
      </c>
    </row>
    <row r="7" spans="2:7" ht="15" customHeight="1" x14ac:dyDescent="0.35">
      <c r="B7" s="70" t="s">
        <v>65</v>
      </c>
      <c r="C7" s="16">
        <f>IFERROR(IF(C73="","",C73),"")</f>
        <v>3.11694168653502E-2</v>
      </c>
      <c r="D7" s="16">
        <f t="shared" ref="C7:G18" si="0">IFERROR(IF(D73="","",D73),"")</f>
        <v>3.8776905480207804E-2</v>
      </c>
      <c r="E7" s="16">
        <f t="shared" si="0"/>
        <v>1.7477031830249246E-3</v>
      </c>
      <c r="F7" s="16">
        <f t="shared" si="0"/>
        <v>-1.5704795453433899E-2</v>
      </c>
      <c r="G7" s="16">
        <f t="shared" si="0"/>
        <v>1.4E-2</v>
      </c>
    </row>
    <row r="8" spans="2:7" ht="15" customHeight="1" x14ac:dyDescent="0.35">
      <c r="B8" s="70" t="s">
        <v>66</v>
      </c>
      <c r="C8" s="16">
        <f t="shared" si="0"/>
        <v>3.7486359297768099E-2</v>
      </c>
      <c r="D8" s="16">
        <f t="shared" si="0"/>
        <v>3.9330468127213296E-2</v>
      </c>
      <c r="E8" s="16">
        <f t="shared" si="0"/>
        <v>2.4331562417676054E-2</v>
      </c>
      <c r="F8" s="16">
        <f t="shared" si="0"/>
        <v>4.3864260811489003E-4</v>
      </c>
      <c r="G8" s="16">
        <f t="shared" si="0"/>
        <v>2.3E-2</v>
      </c>
    </row>
    <row r="9" spans="2:7" ht="15" customHeight="1" x14ac:dyDescent="0.35">
      <c r="B9" s="70" t="s">
        <v>67</v>
      </c>
      <c r="C9" s="16">
        <f t="shared" si="0"/>
        <v>1.5733374383770701E-2</v>
      </c>
      <c r="D9" s="16">
        <f t="shared" si="0"/>
        <v>3.3756014789805E-2</v>
      </c>
      <c r="E9" s="16">
        <f t="shared" si="0"/>
        <v>3.632191213994318E-2</v>
      </c>
      <c r="F9" s="16">
        <f t="shared" si="0"/>
        <v>1.0671387368810901E-2</v>
      </c>
      <c r="G9" s="16">
        <f t="shared" si="0"/>
        <v>4.9000000000000002E-2</v>
      </c>
    </row>
    <row r="10" spans="2:7" ht="15" customHeight="1" x14ac:dyDescent="0.35">
      <c r="B10" s="70" t="s">
        <v>68</v>
      </c>
      <c r="C10" s="16">
        <f t="shared" si="0"/>
        <v>1.52217332818978E-2</v>
      </c>
      <c r="D10" s="16">
        <f t="shared" si="0"/>
        <v>1.5968501075405199E-2</v>
      </c>
      <c r="E10" s="16">
        <f t="shared" si="0"/>
        <v>4.7506176973897848E-2</v>
      </c>
      <c r="F10" s="16">
        <f t="shared" si="0"/>
        <v>-9.3503260798056004E-3</v>
      </c>
      <c r="G10" s="16">
        <f t="shared" si="0"/>
        <v>3.5999999999999997E-2</v>
      </c>
    </row>
    <row r="11" spans="2:7" ht="15" customHeight="1" x14ac:dyDescent="0.35">
      <c r="B11" s="70" t="s">
        <v>69</v>
      </c>
      <c r="C11" s="16">
        <f t="shared" si="0"/>
        <v>3.7458892369701701E-3</v>
      </c>
      <c r="D11" s="16">
        <f t="shared" si="0"/>
        <v>2.6960938318454E-3</v>
      </c>
      <c r="E11" s="16">
        <f t="shared" si="0"/>
        <v>2.4926092288029479E-2</v>
      </c>
      <c r="F11" s="16">
        <f t="shared" si="0"/>
        <v>-4.9035539125986795E-3</v>
      </c>
      <c r="G11" s="16">
        <f t="shared" si="0"/>
        <v>3.3000000000000002E-2</v>
      </c>
    </row>
    <row r="12" spans="2:7" ht="15" customHeight="1" x14ac:dyDescent="0.35">
      <c r="B12" s="70" t="s">
        <v>70</v>
      </c>
      <c r="C12" s="16">
        <f t="shared" si="0"/>
        <v>2.2764664446625699E-2</v>
      </c>
      <c r="D12" s="16">
        <f t="shared" si="0"/>
        <v>3.2961209339875203E-2</v>
      </c>
      <c r="E12" s="16">
        <f t="shared" si="0"/>
        <v>3.8205433016777306E-2</v>
      </c>
      <c r="F12" s="16">
        <f t="shared" si="0"/>
        <v>8.1959745121491807E-3</v>
      </c>
      <c r="G12" s="16">
        <f t="shared" si="0"/>
        <v>4.4999999999999998E-2</v>
      </c>
    </row>
    <row r="13" spans="2:7" ht="15" customHeight="1" x14ac:dyDescent="0.35">
      <c r="B13" s="70" t="s">
        <v>71</v>
      </c>
      <c r="C13" s="16">
        <f t="shared" si="0"/>
        <v>8.7096956138923397E-3</v>
      </c>
      <c r="D13" s="16">
        <f t="shared" si="0"/>
        <v>2.0572659006857799E-2</v>
      </c>
      <c r="E13" s="16">
        <f t="shared" si="0"/>
        <v>2.6694490401073807E-2</v>
      </c>
      <c r="F13" s="16">
        <f t="shared" si="0"/>
        <v>1.80248562671326E-2</v>
      </c>
      <c r="G13" s="16">
        <f t="shared" si="0"/>
        <v>4.1000000000000002E-2</v>
      </c>
    </row>
    <row r="14" spans="2:7" ht="15" customHeight="1" x14ac:dyDescent="0.35">
      <c r="B14" s="70" t="s">
        <v>72</v>
      </c>
      <c r="C14" s="16">
        <f t="shared" si="0"/>
        <v>1.09791532651673E-2</v>
      </c>
      <c r="D14" s="16">
        <f t="shared" si="0"/>
        <v>1.37119538609964E-2</v>
      </c>
      <c r="E14" s="16">
        <f t="shared" si="0"/>
        <v>2.382806212325761E-2</v>
      </c>
      <c r="F14" s="16">
        <f t="shared" si="0"/>
        <v>-1.0726832284510101E-3</v>
      </c>
      <c r="G14" s="16">
        <f t="shared" si="0"/>
        <v>1.6E-2</v>
      </c>
    </row>
    <row r="15" spans="2:7" ht="15" customHeight="1" x14ac:dyDescent="0.35">
      <c r="B15" s="70" t="s">
        <v>73</v>
      </c>
      <c r="C15" s="16">
        <f t="shared" si="0"/>
        <v>3.0703262282221901E-2</v>
      </c>
      <c r="D15" s="16">
        <f t="shared" si="0"/>
        <v>1.2666989233433401E-2</v>
      </c>
      <c r="E15" s="16">
        <f t="shared" si="0"/>
        <v>1.7672683978170626E-2</v>
      </c>
      <c r="F15" s="16">
        <f t="shared" si="0"/>
        <v>3.26079508191566E-2</v>
      </c>
      <c r="G15" s="16">
        <f t="shared" si="0"/>
        <v>3.7999999999999999E-2</v>
      </c>
    </row>
    <row r="16" spans="2:7" ht="15" customHeight="1" x14ac:dyDescent="0.35">
      <c r="B16" s="70" t="s">
        <v>74</v>
      </c>
      <c r="C16" s="16">
        <f t="shared" si="0"/>
        <v>1.0705399983163199E-2</v>
      </c>
      <c r="D16" s="16">
        <f t="shared" si="0"/>
        <v>-5.4634544193089994E-3</v>
      </c>
      <c r="E16" s="16">
        <f t="shared" si="0"/>
        <v>1.4392579586485255E-2</v>
      </c>
      <c r="F16" s="16">
        <f t="shared" si="0"/>
        <v>-2.96808367985065E-3</v>
      </c>
      <c r="G16" s="16">
        <f t="shared" si="0"/>
        <v>3.5000000000000003E-2</v>
      </c>
    </row>
    <row r="17" spans="2:7" ht="15" customHeight="1" x14ac:dyDescent="0.35">
      <c r="B17" s="70" t="s">
        <v>75</v>
      </c>
      <c r="C17" s="16">
        <f t="shared" si="0"/>
        <v>-2.6563984264724701E-3</v>
      </c>
      <c r="D17" s="16">
        <f t="shared" si="0"/>
        <v>-3.414740306147E-3</v>
      </c>
      <c r="E17" s="16">
        <f t="shared" si="0"/>
        <v>1.6489313598929273E-2</v>
      </c>
      <c r="F17" s="16">
        <f t="shared" si="0"/>
        <v>-2.6110932801167103E-3</v>
      </c>
      <c r="G17" s="16">
        <f t="shared" si="0"/>
        <v>3.6999999999999998E-2</v>
      </c>
    </row>
    <row r="18" spans="2:7" ht="15" customHeight="1" thickBot="1" x14ac:dyDescent="0.4">
      <c r="B18" s="70" t="s">
        <v>76</v>
      </c>
      <c r="C18" s="3" t="str">
        <f t="shared" si="0"/>
        <v/>
      </c>
      <c r="D18" s="16">
        <f t="shared" si="0"/>
        <v>-1.313158240734E-3</v>
      </c>
      <c r="E18" s="3" t="str">
        <f t="shared" si="0"/>
        <v/>
      </c>
      <c r="F18" s="3" t="str">
        <f t="shared" si="0"/>
        <v/>
      </c>
      <c r="G18" s="3" t="str">
        <f t="shared" si="0"/>
        <v/>
      </c>
    </row>
    <row r="19" spans="2:7" ht="15" customHeight="1" thickBot="1" x14ac:dyDescent="0.4">
      <c r="B19" s="71" t="s">
        <v>77</v>
      </c>
      <c r="C19" s="68">
        <f>IFERROR(AVERAGE(C7:C18),"")</f>
        <v>1.6778413657304994E-2</v>
      </c>
      <c r="D19" s="68">
        <f>IFERROR(AVERAGE(D7:D18),"")</f>
        <v>1.6687453481620793E-2</v>
      </c>
      <c r="E19" s="68">
        <f>IFERROR(AVERAGE(E7:E18),"")</f>
        <v>2.473781906429685E-2</v>
      </c>
      <c r="F19" s="68">
        <f>IFERROR(AVERAGE(F7:F18),"")</f>
        <v>3.0298432673734198E-3</v>
      </c>
      <c r="G19" s="69">
        <f>IFERROR(AVERAGE(G7:G18),"")</f>
        <v>3.3363636363636359E-2</v>
      </c>
    </row>
    <row r="22" spans="2:7" ht="15" customHeight="1" x14ac:dyDescent="0.35">
      <c r="B22" s="63" t="s">
        <v>78</v>
      </c>
    </row>
    <row r="23" spans="2:7" ht="15" customHeight="1" x14ac:dyDescent="0.35">
      <c r="B23" s="61" t="s">
        <v>79</v>
      </c>
      <c r="C23" s="61" t="s">
        <v>60</v>
      </c>
      <c r="D23" s="61" t="s">
        <v>61</v>
      </c>
      <c r="E23" s="61" t="s">
        <v>62</v>
      </c>
      <c r="F23" s="61" t="s">
        <v>63</v>
      </c>
      <c r="G23" s="61" t="s">
        <v>64</v>
      </c>
    </row>
    <row r="24" spans="2:7" ht="15" customHeight="1" x14ac:dyDescent="0.35">
      <c r="B24" s="4">
        <v>44256</v>
      </c>
      <c r="C24" s="5">
        <v>6.1087869094470101E-2</v>
      </c>
      <c r="D24" s="5">
        <v>6.6327425250098299E-2</v>
      </c>
      <c r="E24" s="5">
        <v>0.11199939198803861</v>
      </c>
      <c r="F24" s="5">
        <v>2.97257911296025E-2</v>
      </c>
      <c r="G24" s="5">
        <v>0.19900000000000001</v>
      </c>
    </row>
    <row r="25" spans="2:7" ht="15" customHeight="1" x14ac:dyDescent="0.35">
      <c r="B25" s="4">
        <v>44287</v>
      </c>
      <c r="C25" s="5">
        <v>0.163384139234623</v>
      </c>
      <c r="D25" s="5">
        <v>0.152850359609942</v>
      </c>
      <c r="E25" s="5">
        <v>0.25446456140779389</v>
      </c>
      <c r="F25" s="5">
        <v>0.26018854938061603</v>
      </c>
      <c r="G25" s="5">
        <v>0.59899999999999998</v>
      </c>
    </row>
    <row r="26" spans="2:7" ht="15" customHeight="1" x14ac:dyDescent="0.35">
      <c r="B26" s="4">
        <v>44317</v>
      </c>
      <c r="C26" s="5">
        <v>0.139702053929186</v>
      </c>
      <c r="D26" s="5">
        <v>0.195518294172977</v>
      </c>
      <c r="E26" s="5">
        <v>0.13277725305715876</v>
      </c>
      <c r="F26" s="5">
        <v>0.27708113185571298</v>
      </c>
      <c r="G26" s="5">
        <v>0.48599999999999999</v>
      </c>
    </row>
    <row r="27" spans="2:7" ht="15" customHeight="1" x14ac:dyDescent="0.35">
      <c r="B27" s="4">
        <v>44348</v>
      </c>
      <c r="C27" s="5">
        <v>8.4005813940407195E-2</v>
      </c>
      <c r="D27" s="5">
        <v>0.20382431879968599</v>
      </c>
      <c r="E27" s="5">
        <v>0.15401411254992922</v>
      </c>
      <c r="F27" s="5">
        <v>0.13811555645462201</v>
      </c>
      <c r="G27" s="5">
        <v>0.23400000000000001</v>
      </c>
    </row>
    <row r="28" spans="2:7" ht="15" customHeight="1" x14ac:dyDescent="0.35">
      <c r="B28" s="4">
        <v>44378</v>
      </c>
      <c r="C28" s="5">
        <v>4.4950169574772499E-2</v>
      </c>
      <c r="D28" s="5">
        <v>0.174249039320926</v>
      </c>
      <c r="E28" s="5">
        <v>0.13187485627808671</v>
      </c>
      <c r="F28" s="5">
        <v>7.57206928134391E-2</v>
      </c>
      <c r="G28" s="5">
        <v>0.13300000000000001</v>
      </c>
    </row>
    <row r="29" spans="2:7" ht="15" customHeight="1" x14ac:dyDescent="0.35">
      <c r="B29" s="4">
        <v>44409</v>
      </c>
      <c r="C29" s="5">
        <v>4.4140440460827698E-2</v>
      </c>
      <c r="D29" s="5">
        <v>0.17966595780603398</v>
      </c>
      <c r="E29" s="5">
        <v>0.11690880947414527</v>
      </c>
      <c r="F29" s="5">
        <v>4.9503871515293597E-2</v>
      </c>
      <c r="G29" s="5">
        <v>0.12</v>
      </c>
    </row>
    <row r="30" spans="2:7" ht="15" customHeight="1" x14ac:dyDescent="0.35">
      <c r="B30" s="4">
        <v>44440</v>
      </c>
      <c r="C30" s="5">
        <v>1.25600999923603E-2</v>
      </c>
      <c r="D30" s="5">
        <v>0.13463442930236599</v>
      </c>
      <c r="E30" s="5">
        <v>0.13450793558858806</v>
      </c>
      <c r="F30" s="5">
        <v>8.1682310524770693E-3</v>
      </c>
      <c r="G30" s="5">
        <v>0.1</v>
      </c>
    </row>
    <row r="31" spans="2:7" ht="15" customHeight="1" x14ac:dyDescent="0.35">
      <c r="B31" s="4">
        <v>44470</v>
      </c>
      <c r="C31" s="5">
        <v>-1.39897845129486E-2</v>
      </c>
      <c r="D31" s="5">
        <v>0.13261557495485099</v>
      </c>
      <c r="E31" s="5">
        <v>0.10179929150495752</v>
      </c>
      <c r="F31" s="5">
        <v>-8.9320642315641389E-4</v>
      </c>
      <c r="G31" s="5">
        <v>4.8000000000000001E-2</v>
      </c>
    </row>
    <row r="32" spans="2:7" ht="15" customHeight="1" x14ac:dyDescent="0.35">
      <c r="B32" s="4">
        <v>44501</v>
      </c>
      <c r="C32" s="5">
        <v>1.3290417073958999E-2</v>
      </c>
      <c r="D32" s="5">
        <v>0.13332037299206501</v>
      </c>
      <c r="E32" s="5">
        <v>0.10541242379524447</v>
      </c>
      <c r="F32" s="5">
        <v>1.8047322712025499E-2</v>
      </c>
      <c r="G32" s="5">
        <v>3.7999999999999999E-2</v>
      </c>
    </row>
    <row r="33" spans="2:7" ht="15" customHeight="1" x14ac:dyDescent="0.35">
      <c r="B33" s="4">
        <v>44531</v>
      </c>
      <c r="C33" s="5">
        <v>1.85802952795475E-2</v>
      </c>
      <c r="D33" s="5">
        <v>8.7511618722782097E-2</v>
      </c>
      <c r="E33" s="5">
        <v>0.10306803304172817</v>
      </c>
      <c r="F33" s="5">
        <v>1.7107927013753098E-2</v>
      </c>
      <c r="G33" s="5">
        <v>0.02</v>
      </c>
    </row>
    <row r="34" spans="2:7" ht="15" customHeight="1" x14ac:dyDescent="0.35">
      <c r="B34" s="4">
        <v>44562</v>
      </c>
      <c r="C34" s="5">
        <v>-1.0432074161198499E-3</v>
      </c>
      <c r="D34" s="5">
        <v>7.2095966976150699E-2</v>
      </c>
      <c r="E34" s="5">
        <v>7.9972834519477939E-2</v>
      </c>
      <c r="F34" s="5">
        <v>1.7843394180878401E-2</v>
      </c>
      <c r="G34" s="5">
        <v>3.1E-2</v>
      </c>
    </row>
    <row r="35" spans="2:7" ht="15" customHeight="1" x14ac:dyDescent="0.35">
      <c r="B35" s="4">
        <v>44593</v>
      </c>
      <c r="C35" s="5">
        <v>1.79731760429231E-2</v>
      </c>
      <c r="D35" s="5">
        <v>5.0054386870159701E-2</v>
      </c>
      <c r="E35" s="5">
        <v>6.7041080501151817E-2</v>
      </c>
      <c r="F35" s="5">
        <v>3.0091690764695499E-2</v>
      </c>
      <c r="G35" s="5">
        <v>4.8000000000000001E-2</v>
      </c>
    </row>
    <row r="36" spans="2:7" ht="15" customHeight="1" x14ac:dyDescent="0.35">
      <c r="B36" s="4">
        <v>44621</v>
      </c>
      <c r="C36" s="5">
        <v>3.4819221940806298E-2</v>
      </c>
      <c r="D36" s="5">
        <v>5.66965502787736E-2</v>
      </c>
      <c r="E36" s="5">
        <v>7.0043441965175368E-2</v>
      </c>
      <c r="F36" s="5">
        <v>1.7973443267052601E-2</v>
      </c>
      <c r="G36" s="5">
        <v>3.9E-2</v>
      </c>
    </row>
    <row r="37" spans="2:7" ht="15" customHeight="1" x14ac:dyDescent="0.35">
      <c r="B37" s="4">
        <v>44652</v>
      </c>
      <c r="C37" s="5">
        <v>2.9843750385717599E-2</v>
      </c>
      <c r="D37" s="5">
        <v>5.9048563004485299E-2</v>
      </c>
      <c r="E37" s="5">
        <v>0.10430781703451558</v>
      </c>
      <c r="F37" s="5">
        <v>2.3845229043453601E-2</v>
      </c>
      <c r="G37" s="5">
        <v>0.04</v>
      </c>
    </row>
    <row r="38" spans="2:7" ht="15" customHeight="1" x14ac:dyDescent="0.35">
      <c r="B38" s="4">
        <v>44682</v>
      </c>
      <c r="C38" s="5">
        <v>3.8654782414550497E-2</v>
      </c>
      <c r="D38" s="5">
        <v>5.58859181847444E-2</v>
      </c>
      <c r="E38" s="5">
        <v>0.16759463755863466</v>
      </c>
      <c r="F38" s="5">
        <v>3.47578446864725E-2</v>
      </c>
      <c r="G38" s="5">
        <v>2.5000000000000001E-2</v>
      </c>
    </row>
    <row r="39" spans="2:7" ht="15" customHeight="1" x14ac:dyDescent="0.35">
      <c r="B39" s="4">
        <v>44713</v>
      </c>
      <c r="C39" s="5">
        <v>3.0049380917184499E-2</v>
      </c>
      <c r="D39" s="5">
        <v>2.7970632563751797E-2</v>
      </c>
      <c r="E39" s="5">
        <v>7.769837042526874E-2</v>
      </c>
      <c r="F39" s="5">
        <v>1.85190957941779E-2</v>
      </c>
      <c r="G39" s="5">
        <v>3.6999999999999998E-2</v>
      </c>
    </row>
    <row r="40" spans="2:7" ht="15" customHeight="1" x14ac:dyDescent="0.35">
      <c r="B40" s="4">
        <v>44743</v>
      </c>
      <c r="C40" s="5">
        <v>4.23160340300952E-2</v>
      </c>
      <c r="D40" s="5">
        <v>-4.3808421788809997E-3</v>
      </c>
      <c r="E40" s="5">
        <v>6.0038300683816603E-2</v>
      </c>
      <c r="F40" s="5">
        <v>2.4666760406362599E-2</v>
      </c>
      <c r="G40" s="5">
        <v>0.02</v>
      </c>
    </row>
    <row r="41" spans="2:7" ht="15" customHeight="1" x14ac:dyDescent="0.35">
      <c r="B41" s="4">
        <v>44774</v>
      </c>
      <c r="C41" s="5">
        <v>5.4276227870494201E-2</v>
      </c>
      <c r="D41" s="5">
        <v>6.3490712253175992E-3</v>
      </c>
      <c r="E41" s="5">
        <v>8.6926782490774734E-2</v>
      </c>
      <c r="F41" s="5">
        <v>5.8618640268336207E-2</v>
      </c>
      <c r="G41" s="5">
        <v>0.02</v>
      </c>
    </row>
    <row r="42" spans="2:7" ht="15" customHeight="1" x14ac:dyDescent="0.35">
      <c r="B42" s="4">
        <v>44805</v>
      </c>
      <c r="C42" s="5">
        <v>4.2360668971581403E-2</v>
      </c>
      <c r="D42" s="5">
        <v>1.7856372039133999E-3</v>
      </c>
      <c r="E42" s="5">
        <v>4.2251215951196033E-2</v>
      </c>
      <c r="F42" s="5">
        <v>5.4670682414087297E-2</v>
      </c>
      <c r="G42" s="5">
        <v>2.1999999999999999E-2</v>
      </c>
    </row>
    <row r="43" spans="2:7" ht="15" customHeight="1" x14ac:dyDescent="0.35">
      <c r="B43" s="4">
        <v>44835</v>
      </c>
      <c r="C43" s="5">
        <v>3.86162885424906E-2</v>
      </c>
      <c r="D43" s="5">
        <v>-1.8790917978613E-2</v>
      </c>
      <c r="E43" s="5">
        <v>4.0724729562040804E-2</v>
      </c>
      <c r="F43" s="5">
        <v>4.69145127929953E-2</v>
      </c>
      <c r="G43" s="5">
        <v>2.5999999999999999E-2</v>
      </c>
    </row>
    <row r="44" spans="2:7" ht="15" customHeight="1" x14ac:dyDescent="0.35">
      <c r="B44" s="4">
        <v>44866</v>
      </c>
      <c r="C44" s="5">
        <v>1.2939688792553901E-2</v>
      </c>
      <c r="D44" s="5">
        <v>-2.866486420366E-2</v>
      </c>
      <c r="E44" s="5">
        <v>8.0419369485113629E-4</v>
      </c>
      <c r="F44" s="5">
        <v>4.6869564500061897E-2</v>
      </c>
      <c r="G44" s="5">
        <v>2.1999999999999999E-2</v>
      </c>
    </row>
    <row r="45" spans="2:7" ht="15" customHeight="1" x14ac:dyDescent="0.35">
      <c r="B45" s="4">
        <v>44896</v>
      </c>
      <c r="C45" s="5">
        <v>6.77139150771455E-3</v>
      </c>
      <c r="D45" s="5">
        <v>-1.2635246838237E-2</v>
      </c>
      <c r="E45" s="5">
        <v>5.2409770885600438E-3</v>
      </c>
      <c r="F45" s="5">
        <v>4.3347329639315105E-2</v>
      </c>
      <c r="G45" s="5">
        <v>1.2999999999999999E-2</v>
      </c>
    </row>
    <row r="46" spans="2:7" ht="15" customHeight="1" x14ac:dyDescent="0.35">
      <c r="B46" s="4">
        <v>44927</v>
      </c>
      <c r="C46" s="5">
        <v>3.7448177300622998E-2</v>
      </c>
      <c r="D46" s="5">
        <v>1.35912623781745E-2</v>
      </c>
      <c r="E46" s="5">
        <v>4.305896138968919E-2</v>
      </c>
      <c r="F46" s="5">
        <v>4.7861325286248001E-2</v>
      </c>
      <c r="G46" s="5">
        <v>-5.0000000000000001E-3</v>
      </c>
    </row>
    <row r="47" spans="2:7" ht="15" customHeight="1" x14ac:dyDescent="0.35">
      <c r="B47" s="4">
        <v>44958</v>
      </c>
      <c r="C47" s="5">
        <v>3.2039658212953001E-2</v>
      </c>
      <c r="D47" s="5">
        <v>1.6342433643252998E-3</v>
      </c>
      <c r="E47" s="5">
        <v>2.4634885254249072E-2</v>
      </c>
      <c r="F47" s="5">
        <v>3.6985973207341399E-2</v>
      </c>
      <c r="G47" s="5">
        <v>-3.0000000000000001E-3</v>
      </c>
    </row>
    <row r="48" spans="2:7" ht="15" customHeight="1" x14ac:dyDescent="0.35">
      <c r="B48" s="4">
        <v>44986</v>
      </c>
      <c r="C48" s="5">
        <v>5.8574797104680602E-2</v>
      </c>
      <c r="D48" s="5">
        <v>-1.4905514158226002E-2</v>
      </c>
      <c r="E48" s="5">
        <v>1.4181155528732604E-2</v>
      </c>
      <c r="F48" s="5">
        <v>2.4510838210762099E-2</v>
      </c>
      <c r="G48" s="5">
        <v>8.9999999999999993E-3</v>
      </c>
    </row>
    <row r="49" spans="2:7" ht="15" customHeight="1" x14ac:dyDescent="0.35">
      <c r="B49" s="4">
        <v>45017</v>
      </c>
      <c r="C49" s="5">
        <v>3.8084628268024098E-2</v>
      </c>
      <c r="D49" s="5">
        <v>-4.9711935165639995E-3</v>
      </c>
      <c r="E49" s="5">
        <v>-7.5974101631611293E-3</v>
      </c>
      <c r="F49" s="5">
        <v>1.7680407107691799E-2</v>
      </c>
      <c r="G49" s="5">
        <v>8.0000000000000002E-3</v>
      </c>
    </row>
    <row r="50" spans="2:7" ht="15" customHeight="1" x14ac:dyDescent="0.35">
      <c r="B50" s="4">
        <v>45047</v>
      </c>
      <c r="C50" s="5">
        <v>3.0352482904627099E-2</v>
      </c>
      <c r="D50" s="5">
        <v>-5.9935949482020001E-3</v>
      </c>
      <c r="E50" s="5">
        <v>2.6545886701711654E-3</v>
      </c>
      <c r="F50" s="5">
        <v>4.14399351722336E-2</v>
      </c>
      <c r="G50" s="5">
        <v>-1.0999999999999999E-2</v>
      </c>
    </row>
    <row r="51" spans="2:7" ht="15" customHeight="1" x14ac:dyDescent="0.35">
      <c r="B51" s="4">
        <v>45078</v>
      </c>
      <c r="C51" s="5">
        <v>2.9972233453394101E-2</v>
      </c>
      <c r="D51" s="5">
        <v>2.7461043058110002E-4</v>
      </c>
      <c r="E51" s="5">
        <v>2.4934003156569275E-2</v>
      </c>
      <c r="F51" s="5">
        <v>3.7945868965142203E-2</v>
      </c>
      <c r="G51" s="5">
        <v>-7.0000000000000001E-3</v>
      </c>
    </row>
    <row r="52" spans="2:7" ht="15" customHeight="1" x14ac:dyDescent="0.35">
      <c r="B52" s="4">
        <v>45108</v>
      </c>
      <c r="C52" s="5">
        <v>1.3165815781268001E-2</v>
      </c>
      <c r="D52" s="5">
        <v>2.9153413219811498E-2</v>
      </c>
      <c r="E52" s="5">
        <v>6.0355807184151898E-3</v>
      </c>
      <c r="F52" s="5">
        <v>3.0478224697433397E-2</v>
      </c>
      <c r="G52" s="5">
        <v>-0.01</v>
      </c>
    </row>
    <row r="53" spans="2:7" ht="15" customHeight="1" x14ac:dyDescent="0.35">
      <c r="B53" s="4">
        <v>45139</v>
      </c>
      <c r="C53" s="5">
        <v>1.46448772251226E-2</v>
      </c>
      <c r="D53" s="5">
        <v>4.1833633693122005E-3</v>
      </c>
      <c r="E53" s="5">
        <v>6.414358573582319E-3</v>
      </c>
      <c r="F53" s="5">
        <v>3.2712848730439802E-2</v>
      </c>
      <c r="G53" s="5">
        <v>1E-3</v>
      </c>
    </row>
    <row r="54" spans="2:7" ht="15" customHeight="1" x14ac:dyDescent="0.35">
      <c r="B54" s="4">
        <v>45170</v>
      </c>
      <c r="C54" s="5">
        <v>6.1947887119908601E-3</v>
      </c>
      <c r="D54" s="5">
        <v>9.0236184963746E-3</v>
      </c>
      <c r="E54" s="5">
        <v>-4.9181505707981896E-3</v>
      </c>
      <c r="F54" s="5">
        <v>3.7658872297136596E-2</v>
      </c>
      <c r="G54" s="5">
        <v>-8.9999999999999993E-3</v>
      </c>
    </row>
    <row r="55" spans="2:7" ht="15" customHeight="1" x14ac:dyDescent="0.35">
      <c r="B55" s="4">
        <v>45200</v>
      </c>
      <c r="C55" s="5">
        <v>1.78847583528077E-2</v>
      </c>
      <c r="D55" s="5">
        <v>2.3886867770405898E-2</v>
      </c>
      <c r="E55" s="5">
        <v>-6.6630045407444528E-3</v>
      </c>
      <c r="F55" s="5">
        <v>4.4585339224235694E-2</v>
      </c>
      <c r="G55" s="5">
        <v>-7.0000000000000001E-3</v>
      </c>
    </row>
    <row r="56" spans="2:7" ht="15" customHeight="1" x14ac:dyDescent="0.35">
      <c r="B56" s="4">
        <v>45231</v>
      </c>
      <c r="C56" s="5">
        <v>2.6417849600409701E-2</v>
      </c>
      <c r="D56" s="5">
        <v>2.2813485961918501E-2</v>
      </c>
      <c r="E56" s="5">
        <v>3.7672131970792437E-2</v>
      </c>
      <c r="F56" s="5">
        <v>1.7266012367699399E-2</v>
      </c>
      <c r="G56" s="5">
        <v>6.0000000000000001E-3</v>
      </c>
    </row>
    <row r="57" spans="2:7" ht="15" customHeight="1" x14ac:dyDescent="0.35">
      <c r="B57" s="4">
        <v>45261</v>
      </c>
      <c r="C57" s="5">
        <v>1.7135196518516301E-2</v>
      </c>
      <c r="D57" s="5">
        <v>5.4210593170122001E-3</v>
      </c>
      <c r="E57" s="5">
        <v>9.3144883458560913E-3</v>
      </c>
      <c r="F57" s="5">
        <v>4.7222493817984899E-3</v>
      </c>
      <c r="G57" s="5">
        <v>-1.0999999999999999E-2</v>
      </c>
    </row>
    <row r="58" spans="2:7" ht="15" customHeight="1" x14ac:dyDescent="0.35">
      <c r="B58" s="4">
        <v>45292</v>
      </c>
      <c r="C58" s="5">
        <v>4.2622174189823399E-2</v>
      </c>
      <c r="D58" s="5">
        <v>3.7449616098781502E-2</v>
      </c>
      <c r="E58" s="5">
        <v>1.6492731682158562E-2</v>
      </c>
      <c r="F58" s="5">
        <v>2.3404511433369902E-2</v>
      </c>
      <c r="G58" s="5">
        <v>1.7999999999999999E-2</v>
      </c>
    </row>
    <row r="59" spans="2:7" ht="15" customHeight="1" x14ac:dyDescent="0.35">
      <c r="B59" s="4">
        <v>45323</v>
      </c>
      <c r="C59" s="5">
        <v>3.5730757364674397E-2</v>
      </c>
      <c r="D59" s="5">
        <v>5.8365278260983595E-2</v>
      </c>
      <c r="E59" s="5">
        <v>2.3808944404296994E-2</v>
      </c>
      <c r="F59" s="5">
        <v>4.3466327086152896E-2</v>
      </c>
      <c r="G59" s="5">
        <v>3.2000000000000001E-2</v>
      </c>
    </row>
    <row r="60" spans="2:7" ht="15" customHeight="1" x14ac:dyDescent="0.35">
      <c r="B60" s="4">
        <v>45352</v>
      </c>
      <c r="C60" s="5">
        <v>-9.8328424014221295E-3</v>
      </c>
      <c r="D60" s="5">
        <v>1.18465996577537E-2</v>
      </c>
      <c r="E60" s="5">
        <v>-2.0798051911159375E-2</v>
      </c>
      <c r="F60" s="5">
        <v>-1.3765828153736901E-2</v>
      </c>
      <c r="G60" s="5">
        <v>-4.0000000000000001E-3</v>
      </c>
    </row>
    <row r="61" spans="2:7" ht="15" customHeight="1" x14ac:dyDescent="0.35">
      <c r="B61" s="4">
        <v>45383</v>
      </c>
      <c r="C61" s="5">
        <v>5.0909334065835803E-2</v>
      </c>
      <c r="D61" s="5">
        <v>3.8954766293202901E-2</v>
      </c>
      <c r="E61" s="5">
        <v>5.5483054805481373E-2</v>
      </c>
      <c r="F61" s="5">
        <v>5.3812154367878E-2</v>
      </c>
      <c r="G61" s="5">
        <v>5.5E-2</v>
      </c>
    </row>
    <row r="62" spans="2:7" ht="15" customHeight="1" x14ac:dyDescent="0.35">
      <c r="B62" s="4">
        <v>45413</v>
      </c>
      <c r="C62" s="5">
        <v>1.8850357908765599E-2</v>
      </c>
      <c r="D62" s="5">
        <v>3.2789354512444001E-3</v>
      </c>
      <c r="E62" s="5">
        <v>2.1493165339182097E-2</v>
      </c>
      <c r="F62" s="5">
        <v>1.4511885072428199E-2</v>
      </c>
      <c r="G62" s="5">
        <v>5.7000000000000002E-2</v>
      </c>
    </row>
    <row r="63" spans="2:7" ht="15" customHeight="1" x14ac:dyDescent="0.35">
      <c r="B63" s="4">
        <v>45444</v>
      </c>
      <c r="C63" s="5">
        <v>3.4518453231938501E-2</v>
      </c>
      <c r="D63" s="5">
        <v>-7.12954041262E-3</v>
      </c>
      <c r="E63" s="5">
        <v>-1.9784613723769839E-2</v>
      </c>
      <c r="F63" s="5">
        <v>-5.8409544364145909E-3</v>
      </c>
      <c r="G63" s="5">
        <v>4.0000000000000001E-3</v>
      </c>
    </row>
    <row r="64" spans="2:7" ht="15" customHeight="1" x14ac:dyDescent="0.35">
      <c r="B64" s="4">
        <v>45474</v>
      </c>
      <c r="C64" s="5">
        <v>5.8813704343970701E-2</v>
      </c>
      <c r="D64" s="5">
        <v>4.4914944309512199E-2</v>
      </c>
      <c r="E64" s="5">
        <v>3.0347177322618109E-2</v>
      </c>
      <c r="F64" s="5">
        <v>3.87659026881624E-2</v>
      </c>
      <c r="G64" s="5">
        <v>4.9000000000000002E-2</v>
      </c>
    </row>
    <row r="65" spans="2:7" ht="15" customHeight="1" x14ac:dyDescent="0.35">
      <c r="B65" s="4">
        <v>45505</v>
      </c>
      <c r="C65" s="5">
        <v>3.7944179414998398E-2</v>
      </c>
      <c r="D65" s="5">
        <v>2.2341186703802796E-2</v>
      </c>
      <c r="E65" s="5">
        <v>1.3120245792598269E-2</v>
      </c>
      <c r="F65" s="5">
        <v>3.9941834146446798E-3</v>
      </c>
      <c r="G65" s="5">
        <v>0.04</v>
      </c>
    </row>
    <row r="66" spans="2:7" ht="15" customHeight="1" x14ac:dyDescent="0.35">
      <c r="B66" s="4">
        <v>45536</v>
      </c>
      <c r="C66" s="5">
        <v>5.24996211489124E-2</v>
      </c>
      <c r="D66" s="5">
        <v>5.0889256205457001E-3</v>
      </c>
      <c r="E66" s="5">
        <v>5.2612709208349883E-3</v>
      </c>
      <c r="F66" s="5">
        <v>-1.3975328701897598E-3</v>
      </c>
      <c r="G66" s="5">
        <v>3.5000000000000003E-2</v>
      </c>
    </row>
    <row r="67" spans="2:7" ht="15" customHeight="1" x14ac:dyDescent="0.35">
      <c r="B67" s="4">
        <v>45566</v>
      </c>
      <c r="C67" s="5">
        <v>7.1126588377815797E-2</v>
      </c>
      <c r="D67" s="5">
        <v>2.8939198553190101E-2</v>
      </c>
      <c r="E67" s="5">
        <v>3.2831687465293413E-2</v>
      </c>
      <c r="F67" s="5">
        <v>6.7506520522803704E-3</v>
      </c>
      <c r="G67" s="5">
        <v>3.7999999999999999E-2</v>
      </c>
    </row>
    <row r="68" spans="2:7" ht="15" customHeight="1" x14ac:dyDescent="0.35">
      <c r="B68" s="4">
        <v>45597</v>
      </c>
      <c r="C68" s="5">
        <v>3.7177668749311499E-2</v>
      </c>
      <c r="D68" s="5">
        <v>2.4312408563500899E-2</v>
      </c>
      <c r="E68" s="5">
        <v>1.7250363920398115E-3</v>
      </c>
      <c r="F68" s="5">
        <v>2.3546586734582301E-3</v>
      </c>
      <c r="G68" s="5">
        <v>4.3999999999999997E-2</v>
      </c>
    </row>
    <row r="69" spans="2:7" ht="15" customHeight="1" x14ac:dyDescent="0.35">
      <c r="B69" s="4">
        <v>45627</v>
      </c>
      <c r="C69" s="5">
        <v>2.41291426212791E-2</v>
      </c>
      <c r="D69" s="5">
        <v>6.7900414272398901E-2</v>
      </c>
      <c r="E69" s="5">
        <v>3.4047774266954746E-2</v>
      </c>
      <c r="F69" s="5">
        <v>-6.4888012579814407E-3</v>
      </c>
      <c r="G69" s="5">
        <v>5.0999999999999997E-2</v>
      </c>
    </row>
    <row r="70" spans="2:7" ht="15" customHeight="1" x14ac:dyDescent="0.35">
      <c r="B70" s="4">
        <v>45658</v>
      </c>
      <c r="C70" s="5">
        <v>3.59405466187235E-2</v>
      </c>
      <c r="D70" s="5">
        <v>3.3277451570955401E-2</v>
      </c>
      <c r="E70" s="5">
        <v>1.9453393243888256E-2</v>
      </c>
      <c r="F70" s="5">
        <v>-4.00695461686368E-3</v>
      </c>
      <c r="G70" s="5">
        <v>4.2999999999999997E-2</v>
      </c>
    </row>
    <row r="71" spans="2:7" ht="15" customHeight="1" x14ac:dyDescent="0.35">
      <c r="B71" s="4">
        <v>45689</v>
      </c>
      <c r="C71" s="5">
        <v>4.6765029749828803E-2</v>
      </c>
      <c r="D71" s="5">
        <v>3.1195371691688E-3</v>
      </c>
      <c r="E71" s="5">
        <v>1.2728179491353585E-2</v>
      </c>
      <c r="F71" s="5">
        <v>-9.1902114632009101E-3</v>
      </c>
      <c r="G71" s="5">
        <v>2.9000000000000001E-2</v>
      </c>
    </row>
    <row r="72" spans="2:7" ht="15" customHeight="1" x14ac:dyDescent="0.35">
      <c r="B72" s="4">
        <v>45717</v>
      </c>
      <c r="C72" s="5">
        <v>4.1268499081707599E-2</v>
      </c>
      <c r="D72" s="5">
        <v>4.9278836062191002E-2</v>
      </c>
      <c r="E72" s="5">
        <v>4.6266754037872032E-2</v>
      </c>
      <c r="F72" s="5">
        <v>2.6294869719699E-2</v>
      </c>
      <c r="G72" s="5">
        <v>4.8000000000000001E-2</v>
      </c>
    </row>
    <row r="73" spans="2:7" ht="15" customHeight="1" x14ac:dyDescent="0.35">
      <c r="B73" s="4">
        <v>45748</v>
      </c>
      <c r="C73" s="5">
        <v>3.11694168653502E-2</v>
      </c>
      <c r="D73" s="5">
        <v>3.8776905480207804E-2</v>
      </c>
      <c r="E73" s="5">
        <v>1.7477031830249246E-3</v>
      </c>
      <c r="F73" s="5">
        <v>-1.5704795453433899E-2</v>
      </c>
      <c r="G73" s="5">
        <v>1.4E-2</v>
      </c>
    </row>
    <row r="74" spans="2:7" ht="15" customHeight="1" x14ac:dyDescent="0.35">
      <c r="B74" s="4">
        <v>45778</v>
      </c>
      <c r="C74" s="5">
        <v>3.7486359297768099E-2</v>
      </c>
      <c r="D74" s="5">
        <v>3.9330468127213296E-2</v>
      </c>
      <c r="E74" s="5">
        <v>2.4331562417676054E-2</v>
      </c>
      <c r="F74" s="5">
        <v>4.3864260811489003E-4</v>
      </c>
      <c r="G74" s="5">
        <v>2.3E-2</v>
      </c>
    </row>
    <row r="75" spans="2:7" ht="15" customHeight="1" x14ac:dyDescent="0.35">
      <c r="B75" s="4">
        <v>45809</v>
      </c>
      <c r="C75" s="5">
        <v>1.5733374383770701E-2</v>
      </c>
      <c r="D75" s="5">
        <v>3.3756014789805E-2</v>
      </c>
      <c r="E75" s="5">
        <v>3.632191213994318E-2</v>
      </c>
      <c r="F75" s="5">
        <v>1.0671387368810901E-2</v>
      </c>
      <c r="G75" s="5">
        <v>4.9000000000000002E-2</v>
      </c>
    </row>
    <row r="76" spans="2:7" ht="15" customHeight="1" x14ac:dyDescent="0.35">
      <c r="B76" s="4">
        <v>45839</v>
      </c>
      <c r="C76" s="5">
        <v>1.52217332818978E-2</v>
      </c>
      <c r="D76" s="5">
        <v>1.5968501075405199E-2</v>
      </c>
      <c r="E76" s="5">
        <v>4.7506176973897848E-2</v>
      </c>
      <c r="F76" s="5">
        <v>-9.3503260798056004E-3</v>
      </c>
      <c r="G76" s="5">
        <v>3.5999999999999997E-2</v>
      </c>
    </row>
    <row r="77" spans="2:7" ht="15" customHeight="1" x14ac:dyDescent="0.35">
      <c r="B77" s="4">
        <v>45870</v>
      </c>
      <c r="C77" s="5">
        <v>3.7458892369701701E-3</v>
      </c>
      <c r="D77" s="5">
        <v>2.6960938318454E-3</v>
      </c>
      <c r="E77" s="5">
        <v>2.4926092288029479E-2</v>
      </c>
      <c r="F77" s="5">
        <v>-4.9035539125986795E-3</v>
      </c>
      <c r="G77" s="5">
        <v>3.3000000000000002E-2</v>
      </c>
    </row>
    <row r="78" spans="2:7" ht="15" customHeight="1" x14ac:dyDescent="0.35">
      <c r="B78" s="4">
        <v>45901</v>
      </c>
      <c r="C78" s="5">
        <v>2.2764664446625699E-2</v>
      </c>
      <c r="D78" s="5">
        <v>3.2961209339875203E-2</v>
      </c>
      <c r="E78" s="5">
        <v>3.8205433016777306E-2</v>
      </c>
      <c r="F78" s="5">
        <v>8.1959745121491807E-3</v>
      </c>
      <c r="G78" s="5">
        <v>4.4999999999999998E-2</v>
      </c>
    </row>
    <row r="79" spans="2:7" ht="15" customHeight="1" x14ac:dyDescent="0.35">
      <c r="B79" s="4">
        <v>45931</v>
      </c>
      <c r="C79" s="5">
        <v>8.7096956138923397E-3</v>
      </c>
      <c r="D79" s="5">
        <v>2.0572659006857799E-2</v>
      </c>
      <c r="E79" s="5">
        <v>2.6694490401073807E-2</v>
      </c>
      <c r="F79" s="5">
        <v>1.80248562671326E-2</v>
      </c>
      <c r="G79" s="5">
        <v>4.1000000000000002E-2</v>
      </c>
    </row>
    <row r="80" spans="2:7" ht="15" customHeight="1" x14ac:dyDescent="0.35">
      <c r="B80" s="4">
        <v>45962</v>
      </c>
      <c r="C80" s="5">
        <v>1.09791532651673E-2</v>
      </c>
      <c r="D80" s="5">
        <v>1.37119538609964E-2</v>
      </c>
      <c r="E80" s="5">
        <v>2.382806212325761E-2</v>
      </c>
      <c r="F80" s="5">
        <v>-1.0726832284510101E-3</v>
      </c>
      <c r="G80" s="5">
        <v>1.6E-2</v>
      </c>
    </row>
    <row r="81" spans="2:7" ht="15" customHeight="1" x14ac:dyDescent="0.35">
      <c r="B81" s="4">
        <v>45992</v>
      </c>
      <c r="C81" s="5">
        <v>3.0703262282221901E-2</v>
      </c>
      <c r="D81" s="5">
        <v>1.2666989233433401E-2</v>
      </c>
      <c r="E81" s="5">
        <v>1.7672683978170626E-2</v>
      </c>
      <c r="F81" s="5">
        <v>3.26079508191566E-2</v>
      </c>
      <c r="G81" s="5">
        <v>3.7999999999999999E-2</v>
      </c>
    </row>
    <row r="82" spans="2:7" ht="15" customHeight="1" x14ac:dyDescent="0.35">
      <c r="B82" s="4">
        <v>46023</v>
      </c>
      <c r="C82" s="5">
        <v>1.0705399983163199E-2</v>
      </c>
      <c r="D82" s="5">
        <v>-5.4634544193089994E-3</v>
      </c>
      <c r="E82" s="5">
        <v>1.4392579586485255E-2</v>
      </c>
      <c r="F82" s="5">
        <v>-2.96808367985065E-3</v>
      </c>
      <c r="G82" s="5">
        <v>3.5000000000000003E-2</v>
      </c>
    </row>
    <row r="83" spans="2:7" ht="15" customHeight="1" x14ac:dyDescent="0.35">
      <c r="B83" s="4">
        <v>46054</v>
      </c>
      <c r="C83" s="5">
        <v>-2.6563984264724701E-3</v>
      </c>
      <c r="D83" s="5">
        <v>-3.414740306147E-3</v>
      </c>
      <c r="E83" s="5">
        <v>1.6489313598929273E-2</v>
      </c>
      <c r="F83" s="5">
        <v>-2.6110932801167103E-3</v>
      </c>
      <c r="G83" s="5">
        <v>3.6999999999999998E-2</v>
      </c>
    </row>
    <row r="84" spans="2:7" ht="15" customHeight="1" x14ac:dyDescent="0.35">
      <c r="B84" s="4">
        <v>46082</v>
      </c>
      <c r="C84" s="8"/>
      <c r="D84" s="5">
        <v>-1.313158240734E-3</v>
      </c>
      <c r="E84" s="8"/>
      <c r="F84" s="8"/>
      <c r="G84" s="8"/>
    </row>
    <row r="85" spans="2:7" ht="15" customHeight="1" x14ac:dyDescent="0.35">
      <c r="B85" s="4">
        <v>46113</v>
      </c>
      <c r="C85" s="8"/>
      <c r="D85" s="8"/>
      <c r="E85" s="8"/>
      <c r="F85" s="8"/>
      <c r="G85" s="8"/>
    </row>
    <row r="86" spans="2:7" ht="15" customHeight="1" x14ac:dyDescent="0.35">
      <c r="B86" s="4">
        <v>46143</v>
      </c>
      <c r="C86" s="8"/>
      <c r="D86" s="8"/>
      <c r="E86" s="8"/>
      <c r="F86" s="8"/>
      <c r="G86" s="8"/>
    </row>
    <row r="88" spans="2:7" ht="15" customHeight="1" x14ac:dyDescent="0.35">
      <c r="B88" s="2" t="s">
        <v>80</v>
      </c>
      <c r="C88" s="37" t="s">
        <v>81</v>
      </c>
      <c r="D88" s="37"/>
      <c r="E88" s="37"/>
      <c r="F88" s="37"/>
      <c r="G88" s="37"/>
    </row>
    <row r="89" spans="2:7" ht="15" customHeight="1" x14ac:dyDescent="0.35">
      <c r="B89" s="2" t="s">
        <v>82</v>
      </c>
      <c r="C89" s="38" t="s">
        <v>83</v>
      </c>
      <c r="D89" s="38"/>
      <c r="E89" s="38"/>
      <c r="F89" s="38"/>
      <c r="G89" s="38"/>
    </row>
    <row r="90" spans="2:7" ht="15" customHeight="1" x14ac:dyDescent="0.35">
      <c r="B90" s="2" t="s">
        <v>82</v>
      </c>
      <c r="C90" s="38" t="s">
        <v>84</v>
      </c>
      <c r="D90" s="38"/>
      <c r="E90" s="38"/>
      <c r="F90" s="38"/>
      <c r="G90" s="38"/>
    </row>
    <row r="91" spans="2:7" ht="15" customHeight="1" x14ac:dyDescent="0.35">
      <c r="B91" s="2" t="s">
        <v>82</v>
      </c>
      <c r="C91" s="38" t="s">
        <v>85</v>
      </c>
      <c r="D91" s="38"/>
      <c r="E91" s="38"/>
      <c r="F91" s="38"/>
      <c r="G91" s="38"/>
    </row>
    <row r="92" spans="2:7" ht="15" customHeight="1" x14ac:dyDescent="0.35">
      <c r="B92" s="2" t="s">
        <v>82</v>
      </c>
      <c r="C92" s="38" t="s">
        <v>86</v>
      </c>
      <c r="D92" s="38"/>
      <c r="E92" s="38"/>
      <c r="F92" s="38"/>
      <c r="G92" s="38"/>
    </row>
    <row r="93" spans="2:7" ht="15" customHeight="1" x14ac:dyDescent="0.35">
      <c r="B93" s="2" t="s">
        <v>82</v>
      </c>
      <c r="C93" s="38" t="s">
        <v>87</v>
      </c>
      <c r="D93" s="38"/>
      <c r="E93" s="38"/>
      <c r="F93" s="38"/>
      <c r="G93" s="38"/>
    </row>
  </sheetData>
  <mergeCells count="6">
    <mergeCell ref="C93:G93"/>
    <mergeCell ref="C88:G88"/>
    <mergeCell ref="C89:G89"/>
    <mergeCell ref="C90:G90"/>
    <mergeCell ref="C91:G91"/>
    <mergeCell ref="C92:G92"/>
  </mergeCells>
  <conditionalFormatting sqref="C7:G18">
    <cfRule type="colorScale" priority="3">
      <colorScale>
        <cfvo type="num" val="-0.06"/>
        <cfvo type="num" val="0"/>
        <cfvo type="num" val="0.06"/>
        <color rgb="FFF8696B"/>
        <color rgb="FFFFFFFF"/>
        <color rgb="FF63BE7B"/>
      </colorScale>
    </cfRule>
  </conditionalFormatting>
  <conditionalFormatting sqref="C19:G19">
    <cfRule type="colorScale" priority="1">
      <colorScale>
        <cfvo type="min"/>
        <cfvo type="max"/>
        <color rgb="FFFCFCFF"/>
        <color rgb="FF63BE7B"/>
      </colorScale>
    </cfRule>
  </conditionalFormatting>
  <printOptions horizontalCentered="1"/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90"/>
  <sheetViews>
    <sheetView showGridLines="0" zoomScaleNormal="100" workbookViewId="0">
      <selection activeCell="J28" sqref="J28"/>
    </sheetView>
  </sheetViews>
  <sheetFormatPr baseColWidth="10" defaultColWidth="8.7265625" defaultRowHeight="14" x14ac:dyDescent="0.3"/>
  <cols>
    <col min="1" max="1" width="3" style="19" customWidth="1"/>
    <col min="2" max="2" width="14" style="19" customWidth="1"/>
    <col min="3" max="6" width="12" style="19" customWidth="1"/>
    <col min="7" max="16384" width="8.7265625" style="19"/>
  </cols>
  <sheetData>
    <row r="2" spans="2:6" ht="19.5" customHeight="1" x14ac:dyDescent="0.4">
      <c r="B2" s="64" t="s">
        <v>88</v>
      </c>
    </row>
    <row r="3" spans="2:6" ht="15" customHeight="1" x14ac:dyDescent="0.35">
      <c r="B3" s="20" t="s">
        <v>89</v>
      </c>
    </row>
    <row r="5" spans="2:6" ht="15" customHeight="1" x14ac:dyDescent="0.4">
      <c r="B5" s="67" t="s">
        <v>143</v>
      </c>
      <c r="C5" s="21"/>
      <c r="D5" s="21"/>
      <c r="E5" s="21"/>
      <c r="F5" s="21"/>
    </row>
    <row r="6" spans="2:6" ht="15" customHeight="1" x14ac:dyDescent="0.3">
      <c r="B6" s="84" t="s">
        <v>59</v>
      </c>
      <c r="C6" s="84" t="s">
        <v>60</v>
      </c>
      <c r="D6" s="84" t="s">
        <v>61</v>
      </c>
      <c r="E6" s="84" t="s">
        <v>62</v>
      </c>
      <c r="F6" s="84" t="s">
        <v>63</v>
      </c>
    </row>
    <row r="7" spans="2:6" ht="15" customHeight="1" x14ac:dyDescent="0.3">
      <c r="B7" s="72" t="s">
        <v>65</v>
      </c>
      <c r="C7" s="27">
        <f t="shared" ref="C7:F18" si="0">IFERROR(IF(C71="","",C71),"")</f>
        <v>5.3999999999999999E-2</v>
      </c>
      <c r="D7" s="27">
        <f t="shared" si="0"/>
        <v>3.1E-2</v>
      </c>
      <c r="E7" s="27">
        <f t="shared" si="0"/>
        <v>0.11700000000000001</v>
      </c>
      <c r="F7" s="27">
        <f t="shared" si="0"/>
        <v>-1.4999999999999999E-2</v>
      </c>
    </row>
    <row r="8" spans="2:6" ht="15" customHeight="1" x14ac:dyDescent="0.3">
      <c r="B8" s="72" t="s">
        <v>66</v>
      </c>
      <c r="C8" s="27">
        <f t="shared" si="0"/>
        <v>1.7999999999999999E-2</v>
      </c>
      <c r="D8" s="27">
        <f t="shared" si="0"/>
        <v>5.1999999999999998E-2</v>
      </c>
      <c r="E8" s="27">
        <f t="shared" si="0"/>
        <v>0.13500000000000001</v>
      </c>
      <c r="F8" s="27">
        <f t="shared" si="0"/>
        <v>2.5999999999999999E-2</v>
      </c>
    </row>
    <row r="9" spans="2:6" ht="15" customHeight="1" x14ac:dyDescent="0.3">
      <c r="B9" s="72" t="s">
        <v>67</v>
      </c>
      <c r="C9" s="27">
        <f t="shared" si="0"/>
        <v>5.0000000000000001E-3</v>
      </c>
      <c r="D9" s="27">
        <f t="shared" si="0"/>
        <v>0.06</v>
      </c>
      <c r="E9" s="27">
        <f t="shared" si="0"/>
        <v>0.10299999999999999</v>
      </c>
      <c r="F9" s="27">
        <f t="shared" si="0"/>
        <v>3.2000000000000001E-2</v>
      </c>
    </row>
    <row r="10" spans="2:6" ht="15" customHeight="1" x14ac:dyDescent="0.3">
      <c r="B10" s="72" t="s">
        <v>68</v>
      </c>
      <c r="C10" s="27">
        <f t="shared" si="0"/>
        <v>1.2999999999999999E-2</v>
      </c>
      <c r="D10" s="27">
        <f t="shared" si="0"/>
        <v>5.7000000000000002E-2</v>
      </c>
      <c r="E10" s="27">
        <f t="shared" si="0"/>
        <v>0.182</v>
      </c>
      <c r="F10" s="27">
        <f t="shared" si="0"/>
        <v>2.4E-2</v>
      </c>
    </row>
    <row r="11" spans="2:6" ht="15" customHeight="1" x14ac:dyDescent="0.3">
      <c r="B11" s="72" t="s">
        <v>69</v>
      </c>
      <c r="C11" s="27">
        <f t="shared" si="0"/>
        <v>4.0000000000000001E-3</v>
      </c>
      <c r="D11" s="27">
        <f t="shared" si="0"/>
        <v>5.1999999999999998E-2</v>
      </c>
      <c r="E11" s="27">
        <f t="shared" si="0"/>
        <v>0.125</v>
      </c>
      <c r="F11" s="27">
        <f t="shared" si="0"/>
        <v>2.4E-2</v>
      </c>
    </row>
    <row r="12" spans="2:6" ht="15" customHeight="1" x14ac:dyDescent="0.3">
      <c r="B12" s="72" t="s">
        <v>70</v>
      </c>
      <c r="C12" s="27">
        <f t="shared" si="0"/>
        <v>8.9999999999999993E-3</v>
      </c>
      <c r="D12" s="27">
        <f t="shared" si="0"/>
        <v>6.5000000000000002E-2</v>
      </c>
      <c r="E12" s="27">
        <f t="shared" si="0"/>
        <v>0.14299999999999999</v>
      </c>
      <c r="F12" s="27">
        <f t="shared" si="0"/>
        <v>3.3000000000000002E-2</v>
      </c>
    </row>
    <row r="13" spans="2:6" ht="15" customHeight="1" x14ac:dyDescent="0.3">
      <c r="B13" s="72" t="s">
        <v>71</v>
      </c>
      <c r="C13" s="27">
        <f t="shared" si="0"/>
        <v>0.01</v>
      </c>
      <c r="D13" s="27">
        <f t="shared" si="0"/>
        <v>8.3000000000000004E-2</v>
      </c>
      <c r="E13" s="27">
        <f t="shared" si="0"/>
        <v>9.8000000000000004E-2</v>
      </c>
      <c r="F13" s="27">
        <f t="shared" si="0"/>
        <v>3.4000000000000002E-2</v>
      </c>
    </row>
    <row r="14" spans="2:6" ht="15" customHeight="1" x14ac:dyDescent="0.3">
      <c r="B14" s="72" t="s">
        <v>72</v>
      </c>
      <c r="C14" s="27">
        <f t="shared" si="0"/>
        <v>1.4999999999999999E-2</v>
      </c>
      <c r="D14" s="27">
        <f t="shared" si="0"/>
        <v>5.8000000000000003E-2</v>
      </c>
      <c r="E14" s="27">
        <f t="shared" si="0"/>
        <v>7.3999999999999996E-2</v>
      </c>
      <c r="F14" s="27">
        <f t="shared" si="0"/>
        <v>4.3999999999999997E-2</v>
      </c>
    </row>
    <row r="15" spans="2:6" ht="15" customHeight="1" x14ac:dyDescent="0.3">
      <c r="B15" s="72" t="s">
        <v>73</v>
      </c>
      <c r="C15" s="27">
        <f t="shared" si="0"/>
        <v>2.4E-2</v>
      </c>
      <c r="D15" s="27">
        <f t="shared" si="0"/>
        <v>4.3999999999999997E-2</v>
      </c>
      <c r="E15" s="27">
        <f t="shared" si="0"/>
        <v>0.111</v>
      </c>
      <c r="F15" s="27">
        <f t="shared" si="0"/>
        <v>4.2999999999999997E-2</v>
      </c>
    </row>
    <row r="16" spans="2:6" ht="15" customHeight="1" x14ac:dyDescent="0.3">
      <c r="B16" s="72" t="s">
        <v>74</v>
      </c>
      <c r="C16" s="27">
        <f t="shared" si="0"/>
        <v>2.7E-2</v>
      </c>
      <c r="D16" s="27">
        <f t="shared" si="0"/>
        <v>3.5999999999999997E-2</v>
      </c>
      <c r="E16" s="27">
        <f t="shared" si="0"/>
        <v>7.9000000000000001E-2</v>
      </c>
      <c r="F16" s="27">
        <f t="shared" si="0"/>
        <v>0.05</v>
      </c>
    </row>
    <row r="17" spans="2:6" ht="15" customHeight="1" x14ac:dyDescent="0.3">
      <c r="B17" s="72" t="s">
        <v>75</v>
      </c>
      <c r="C17" s="27">
        <f t="shared" si="0"/>
        <v>2E-3</v>
      </c>
      <c r="D17" s="27">
        <f t="shared" si="0"/>
        <v>5.6000000000000001E-2</v>
      </c>
      <c r="E17" s="27">
        <f t="shared" si="0"/>
        <v>0.109</v>
      </c>
      <c r="F17" s="27">
        <f t="shared" si="0"/>
        <v>3.1E-2</v>
      </c>
    </row>
    <row r="18" spans="2:6" ht="15" customHeight="1" thickBot="1" x14ac:dyDescent="0.35">
      <c r="B18" s="72" t="s">
        <v>76</v>
      </c>
      <c r="C18" s="27" t="str">
        <f t="shared" si="0"/>
        <v/>
      </c>
      <c r="D18" s="27">
        <f t="shared" si="0"/>
        <v>4.5999999999999999E-2</v>
      </c>
      <c r="E18" s="27" t="str">
        <f t="shared" si="0"/>
        <v/>
      </c>
      <c r="F18" s="27" t="str">
        <f t="shared" si="0"/>
        <v/>
      </c>
    </row>
    <row r="19" spans="2:6" ht="15" customHeight="1" thickBot="1" x14ac:dyDescent="0.35">
      <c r="B19" s="73" t="s">
        <v>77</v>
      </c>
      <c r="C19" s="68">
        <f>IFERROR(AVERAGE(C7:C18),"")</f>
        <v>1.6454545454545454E-2</v>
      </c>
      <c r="D19" s="68">
        <f>IFERROR(AVERAGE(D7:D18),"")</f>
        <v>5.3333333333333344E-2</v>
      </c>
      <c r="E19" s="68">
        <f>IFERROR(AVERAGE(E7:E18),"")</f>
        <v>0.11599999999999998</v>
      </c>
      <c r="F19" s="69">
        <f>IFERROR(AVERAGE(F7:F18),"")</f>
        <v>2.9636363636363631E-2</v>
      </c>
    </row>
    <row r="22" spans="2:6" ht="15" customHeight="1" x14ac:dyDescent="0.35">
      <c r="B22" s="66" t="s">
        <v>78</v>
      </c>
    </row>
    <row r="23" spans="2:6" ht="15" customHeight="1" x14ac:dyDescent="0.3">
      <c r="B23" s="65" t="s">
        <v>79</v>
      </c>
      <c r="C23" s="65" t="s">
        <v>60</v>
      </c>
      <c r="D23" s="65" t="s">
        <v>61</v>
      </c>
      <c r="E23" s="65" t="s">
        <v>62</v>
      </c>
      <c r="F23" s="65" t="s">
        <v>63</v>
      </c>
    </row>
    <row r="24" spans="2:6" ht="15" customHeight="1" x14ac:dyDescent="0.3">
      <c r="B24" s="22">
        <v>44317</v>
      </c>
      <c r="C24" s="23">
        <v>0.24</v>
      </c>
      <c r="D24" s="23">
        <v>0.38</v>
      </c>
      <c r="E24" s="23">
        <v>0.75</v>
      </c>
      <c r="F24" s="23">
        <v>0.36</v>
      </c>
    </row>
    <row r="25" spans="2:6" ht="15" customHeight="1" x14ac:dyDescent="0.3">
      <c r="B25" s="22">
        <v>44348</v>
      </c>
      <c r="C25" s="23">
        <v>0.16</v>
      </c>
      <c r="D25" s="23">
        <v>0.6</v>
      </c>
      <c r="E25" s="23">
        <v>0.3</v>
      </c>
      <c r="F25" s="23">
        <v>0.35</v>
      </c>
    </row>
    <row r="26" spans="2:6" ht="15" customHeight="1" x14ac:dyDescent="0.3">
      <c r="B26" s="22">
        <v>44378</v>
      </c>
      <c r="C26" s="23">
        <v>0.06</v>
      </c>
      <c r="D26" s="23">
        <v>0.57999999999999996</v>
      </c>
      <c r="E26" s="23">
        <v>0.3</v>
      </c>
      <c r="F26" s="23">
        <v>0.3</v>
      </c>
    </row>
    <row r="27" spans="2:6" ht="15" customHeight="1" x14ac:dyDescent="0.3">
      <c r="B27" s="22">
        <v>44409</v>
      </c>
      <c r="C27" s="23">
        <v>-0.03</v>
      </c>
      <c r="D27" s="23">
        <v>0.6</v>
      </c>
      <c r="E27" s="23">
        <v>0.31</v>
      </c>
      <c r="F27" s="23">
        <v>0.25</v>
      </c>
    </row>
    <row r="28" spans="2:6" ht="15" customHeight="1" x14ac:dyDescent="0.3">
      <c r="B28" s="22">
        <v>44440</v>
      </c>
      <c r="C28" s="23">
        <v>-0.05</v>
      </c>
      <c r="D28" s="23">
        <v>0.6</v>
      </c>
      <c r="E28" s="23">
        <v>0.22</v>
      </c>
      <c r="F28" s="23">
        <v>0.2</v>
      </c>
    </row>
    <row r="29" spans="2:6" ht="15" customHeight="1" x14ac:dyDescent="0.3">
      <c r="B29" s="22">
        <v>44470</v>
      </c>
      <c r="C29" s="23">
        <v>-7.0000000000000007E-2</v>
      </c>
      <c r="D29" s="23">
        <v>0.4</v>
      </c>
      <c r="E29" s="23">
        <v>0.19</v>
      </c>
      <c r="F29" s="23">
        <v>0.15</v>
      </c>
    </row>
    <row r="30" spans="2:6" ht="15" customHeight="1" x14ac:dyDescent="0.3">
      <c r="B30" s="22">
        <v>44501</v>
      </c>
      <c r="C30" s="23">
        <v>-7.0000000000000007E-2</v>
      </c>
      <c r="D30" s="23">
        <v>0.25</v>
      </c>
      <c r="E30" s="23">
        <v>7.0000000000000007E-2</v>
      </c>
      <c r="F30" s="23">
        <v>0.13</v>
      </c>
    </row>
    <row r="31" spans="2:6" ht="15" customHeight="1" x14ac:dyDescent="0.3">
      <c r="B31" s="22">
        <v>44531</v>
      </c>
      <c r="C31" s="23">
        <v>-0.03</v>
      </c>
      <c r="D31" s="23">
        <v>0.23</v>
      </c>
      <c r="E31" s="23">
        <v>0.14000000000000001</v>
      </c>
      <c r="F31" s="23">
        <v>0.11</v>
      </c>
    </row>
    <row r="32" spans="2:6" ht="15" customHeight="1" x14ac:dyDescent="0.3">
      <c r="B32" s="22">
        <v>44562</v>
      </c>
      <c r="C32" s="23">
        <v>-0.01</v>
      </c>
      <c r="D32" s="23">
        <v>0.18</v>
      </c>
      <c r="E32" s="23">
        <v>0.21</v>
      </c>
      <c r="F32" s="23">
        <v>0.11</v>
      </c>
    </row>
    <row r="33" spans="2:6" ht="15" customHeight="1" x14ac:dyDescent="0.3">
      <c r="B33" s="22">
        <v>44593</v>
      </c>
      <c r="C33" s="23">
        <v>-0.01</v>
      </c>
      <c r="D33" s="23">
        <v>0.12</v>
      </c>
      <c r="E33" s="23">
        <v>0.14000000000000001</v>
      </c>
      <c r="F33" s="23">
        <v>0.09</v>
      </c>
    </row>
    <row r="34" spans="2:6" ht="15" customHeight="1" x14ac:dyDescent="0.3">
      <c r="B34" s="22">
        <v>44621</v>
      </c>
      <c r="C34" s="23">
        <v>0</v>
      </c>
      <c r="D34" s="23">
        <v>0.13</v>
      </c>
      <c r="E34" s="23">
        <v>0.13</v>
      </c>
      <c r="F34" s="23">
        <v>0.08</v>
      </c>
    </row>
    <row r="35" spans="2:6" ht="15" customHeight="1" x14ac:dyDescent="0.3">
      <c r="B35" s="22">
        <v>44652</v>
      </c>
      <c r="C35" s="23">
        <v>0.05</v>
      </c>
      <c r="D35" s="23">
        <v>0.14000000000000001</v>
      </c>
      <c r="E35" s="23">
        <v>0.13</v>
      </c>
      <c r="F35" s="23">
        <v>7.0000000000000007E-2</v>
      </c>
    </row>
    <row r="36" spans="2:6" ht="15" customHeight="1" x14ac:dyDescent="0.3">
      <c r="B36" s="22">
        <v>44682</v>
      </c>
      <c r="C36" s="23">
        <v>0.04</v>
      </c>
      <c r="D36" s="23">
        <v>0.21</v>
      </c>
      <c r="E36" s="23">
        <v>0.35</v>
      </c>
      <c r="F36" s="23">
        <v>0.08</v>
      </c>
    </row>
    <row r="37" spans="2:6" ht="15" customHeight="1" x14ac:dyDescent="0.3">
      <c r="B37" s="22">
        <v>44713</v>
      </c>
      <c r="C37" s="23">
        <v>0</v>
      </c>
      <c r="D37" s="23">
        <v>-0.03</v>
      </c>
      <c r="E37" s="23">
        <v>0.12</v>
      </c>
      <c r="F37" s="23">
        <v>0.08</v>
      </c>
    </row>
    <row r="38" spans="2:6" ht="15" customHeight="1" x14ac:dyDescent="0.3">
      <c r="B38" s="22">
        <v>44743</v>
      </c>
      <c r="C38" s="23">
        <v>0.01</v>
      </c>
      <c r="D38" s="23">
        <v>-0.08</v>
      </c>
      <c r="E38" s="23">
        <v>0.09</v>
      </c>
      <c r="F38" s="23">
        <v>0.06</v>
      </c>
    </row>
    <row r="39" spans="2:6" ht="15" customHeight="1" x14ac:dyDescent="0.3">
      <c r="B39" s="22">
        <v>44774</v>
      </c>
      <c r="C39" s="23">
        <v>0.02</v>
      </c>
      <c r="D39" s="23">
        <v>-0.1</v>
      </c>
      <c r="E39" s="23">
        <v>0.08</v>
      </c>
      <c r="F39" s="23">
        <v>0.06</v>
      </c>
    </row>
    <row r="40" spans="2:6" ht="15" customHeight="1" x14ac:dyDescent="0.3">
      <c r="B40" s="22">
        <v>44805</v>
      </c>
      <c r="C40" s="23">
        <v>0.03</v>
      </c>
      <c r="D40" s="23">
        <v>-0.13</v>
      </c>
      <c r="E40" s="23">
        <v>0.06</v>
      </c>
      <c r="F40" s="23">
        <v>0.08</v>
      </c>
    </row>
    <row r="41" spans="2:6" ht="15" customHeight="1" x14ac:dyDescent="0.3">
      <c r="B41" s="22">
        <v>44835</v>
      </c>
      <c r="C41" s="23">
        <v>0.03</v>
      </c>
      <c r="D41" s="23">
        <v>-0.15</v>
      </c>
      <c r="E41" s="23">
        <v>7.0000000000000007E-2</v>
      </c>
      <c r="F41" s="23">
        <v>0.06</v>
      </c>
    </row>
    <row r="42" spans="2:6" ht="15" customHeight="1" x14ac:dyDescent="0.3">
      <c r="B42" s="22">
        <v>44866</v>
      </c>
      <c r="C42" s="23">
        <v>0.01</v>
      </c>
      <c r="D42" s="23">
        <v>-0.1</v>
      </c>
      <c r="E42" s="23">
        <v>0</v>
      </c>
      <c r="F42" s="23">
        <v>0.09</v>
      </c>
    </row>
    <row r="43" spans="2:6" ht="15" customHeight="1" x14ac:dyDescent="0.3">
      <c r="B43" s="22">
        <v>44896</v>
      </c>
      <c r="C43" s="23">
        <v>0.01</v>
      </c>
      <c r="D43" s="23">
        <v>-0.08</v>
      </c>
      <c r="E43" s="23">
        <v>-0.01</v>
      </c>
      <c r="F43" s="23">
        <v>0.06</v>
      </c>
    </row>
    <row r="44" spans="2:6" ht="15" customHeight="1" x14ac:dyDescent="0.3">
      <c r="B44" s="22">
        <v>44927</v>
      </c>
      <c r="C44" s="23">
        <v>0.01</v>
      </c>
      <c r="D44" s="23">
        <v>-7.0000000000000007E-2</v>
      </c>
      <c r="E44" s="23">
        <v>-0.03</v>
      </c>
      <c r="F44" s="23">
        <v>7.0000000000000007E-2</v>
      </c>
    </row>
    <row r="45" spans="2:6" ht="15" customHeight="1" x14ac:dyDescent="0.3">
      <c r="B45" s="22">
        <v>44958</v>
      </c>
      <c r="C45" s="23">
        <v>0</v>
      </c>
      <c r="D45" s="23">
        <v>-7.0000000000000007E-2</v>
      </c>
      <c r="E45" s="23">
        <v>-0.05</v>
      </c>
      <c r="F45" s="23">
        <v>0.06</v>
      </c>
    </row>
    <row r="46" spans="2:6" ht="15" customHeight="1" x14ac:dyDescent="0.3">
      <c r="B46" s="22">
        <v>44986</v>
      </c>
      <c r="C46" s="23">
        <v>0</v>
      </c>
      <c r="D46" s="23">
        <v>-0.08</v>
      </c>
      <c r="E46" s="23">
        <v>-0.05</v>
      </c>
      <c r="F46" s="23">
        <v>0.04</v>
      </c>
    </row>
    <row r="47" spans="2:6" ht="15" customHeight="1" x14ac:dyDescent="0.3">
      <c r="B47" s="22">
        <v>45017</v>
      </c>
      <c r="C47" s="23">
        <v>-0.01</v>
      </c>
      <c r="D47" s="23">
        <v>-7.0000000000000007E-2</v>
      </c>
      <c r="E47" s="23">
        <v>-0.03</v>
      </c>
      <c r="F47" s="23">
        <v>0.04</v>
      </c>
    </row>
    <row r="48" spans="2:6" ht="15" customHeight="1" x14ac:dyDescent="0.3">
      <c r="B48" s="22">
        <v>45047</v>
      </c>
      <c r="C48" s="23">
        <v>0</v>
      </c>
      <c r="D48" s="23">
        <v>-0.05</v>
      </c>
      <c r="E48" s="23">
        <v>-0.02</v>
      </c>
      <c r="F48" s="23">
        <v>0.04</v>
      </c>
    </row>
    <row r="49" spans="2:6" ht="15" customHeight="1" x14ac:dyDescent="0.3">
      <c r="B49" s="22">
        <v>45078</v>
      </c>
      <c r="C49" s="23">
        <v>0</v>
      </c>
      <c r="D49" s="23">
        <v>-0.03</v>
      </c>
      <c r="E49" s="23">
        <v>-0.02</v>
      </c>
      <c r="F49" s="23">
        <v>0.05</v>
      </c>
    </row>
    <row r="50" spans="2:6" ht="15" customHeight="1" x14ac:dyDescent="0.3">
      <c r="B50" s="22">
        <v>45108</v>
      </c>
      <c r="C50" s="23">
        <v>0.01</v>
      </c>
      <c r="D50" s="23">
        <v>-0.01</v>
      </c>
      <c r="E50" s="23">
        <v>-0.01</v>
      </c>
      <c r="F50" s="23">
        <v>0.05</v>
      </c>
    </row>
    <row r="51" spans="2:6" ht="15" customHeight="1" x14ac:dyDescent="0.3">
      <c r="B51" s="22">
        <v>45139</v>
      </c>
      <c r="C51" s="23">
        <v>0.01</v>
      </c>
      <c r="D51" s="23">
        <v>0.01</v>
      </c>
      <c r="E51" s="23">
        <v>0.01</v>
      </c>
      <c r="F51" s="23">
        <v>0.04</v>
      </c>
    </row>
    <row r="52" spans="2:6" ht="15" customHeight="1" x14ac:dyDescent="0.3">
      <c r="B52" s="22">
        <v>45170</v>
      </c>
      <c r="C52" s="23">
        <v>0.02</v>
      </c>
      <c r="D52" s="23">
        <v>0</v>
      </c>
      <c r="E52" s="23">
        <v>0</v>
      </c>
      <c r="F52" s="23">
        <v>0.05</v>
      </c>
    </row>
    <row r="53" spans="2:6" ht="15" customHeight="1" x14ac:dyDescent="0.3">
      <c r="B53" s="22">
        <v>45200</v>
      </c>
      <c r="C53" s="23">
        <v>0.02</v>
      </c>
      <c r="D53" s="23">
        <v>0</v>
      </c>
      <c r="E53" s="23">
        <v>0.01</v>
      </c>
      <c r="F53" s="23">
        <v>0.04</v>
      </c>
    </row>
    <row r="54" spans="2:6" ht="15" customHeight="1" x14ac:dyDescent="0.3">
      <c r="B54" s="22">
        <v>45231</v>
      </c>
      <c r="C54" s="23">
        <v>0.01</v>
      </c>
      <c r="D54" s="23">
        <v>0.01</v>
      </c>
      <c r="E54" s="23">
        <v>0.02</v>
      </c>
      <c r="F54" s="23">
        <v>0.04</v>
      </c>
    </row>
    <row r="55" spans="2:6" ht="15" customHeight="1" x14ac:dyDescent="0.3">
      <c r="B55" s="22">
        <v>45261</v>
      </c>
      <c r="C55" s="23">
        <v>0.02</v>
      </c>
      <c r="D55" s="23">
        <v>0.02</v>
      </c>
      <c r="E55" s="23">
        <v>0.02</v>
      </c>
      <c r="F55" s="23">
        <v>0.04</v>
      </c>
    </row>
    <row r="56" spans="2:6" ht="15" customHeight="1" x14ac:dyDescent="0.3">
      <c r="B56" s="22">
        <v>45292</v>
      </c>
      <c r="C56" s="23">
        <v>0.03</v>
      </c>
      <c r="D56" s="23">
        <v>0.01</v>
      </c>
      <c r="E56" s="23">
        <v>0.01</v>
      </c>
      <c r="F56" s="23">
        <v>0.05</v>
      </c>
    </row>
    <row r="57" spans="2:6" ht="15" customHeight="1" x14ac:dyDescent="0.3">
      <c r="B57" s="22">
        <v>45323</v>
      </c>
      <c r="C57" s="23">
        <v>0.04</v>
      </c>
      <c r="D57" s="23">
        <v>0.01</v>
      </c>
      <c r="E57" s="23">
        <v>0</v>
      </c>
      <c r="F57" s="23">
        <v>0.05</v>
      </c>
    </row>
    <row r="58" spans="2:6" ht="15" customHeight="1" x14ac:dyDescent="0.3">
      <c r="B58" s="22">
        <v>45352</v>
      </c>
      <c r="C58" s="23">
        <v>0.02</v>
      </c>
      <c r="D58" s="23">
        <v>0.01</v>
      </c>
      <c r="E58" s="23">
        <v>0.01</v>
      </c>
      <c r="F58" s="23">
        <v>0.05</v>
      </c>
    </row>
    <row r="59" spans="2:6" ht="15" customHeight="1" x14ac:dyDescent="0.3">
      <c r="B59" s="22">
        <v>45383</v>
      </c>
      <c r="C59" s="23">
        <v>0.02</v>
      </c>
      <c r="D59" s="23">
        <v>0.06</v>
      </c>
      <c r="E59" s="23">
        <v>0.04</v>
      </c>
      <c r="F59" s="23">
        <v>0.04</v>
      </c>
    </row>
    <row r="60" spans="2:6" ht="15" customHeight="1" x14ac:dyDescent="0.3">
      <c r="B60" s="22">
        <v>45413</v>
      </c>
      <c r="C60" s="23">
        <v>0.01</v>
      </c>
      <c r="D60" s="23">
        <v>0.04</v>
      </c>
      <c r="E60" s="23">
        <v>0.01</v>
      </c>
      <c r="F60" s="23">
        <v>0.04</v>
      </c>
    </row>
    <row r="61" spans="2:6" ht="15" customHeight="1" x14ac:dyDescent="0.3">
      <c r="B61" s="22">
        <v>45444</v>
      </c>
      <c r="C61" s="23">
        <v>0.02</v>
      </c>
      <c r="D61" s="23">
        <v>0.03</v>
      </c>
      <c r="E61" s="23">
        <v>0.05</v>
      </c>
      <c r="F61" s="23">
        <v>0.04</v>
      </c>
    </row>
    <row r="62" spans="2:6" ht="15" customHeight="1" x14ac:dyDescent="0.3">
      <c r="B62" s="22">
        <v>45474</v>
      </c>
      <c r="C62" s="23">
        <v>0.03</v>
      </c>
      <c r="D62" s="23">
        <v>0.04</v>
      </c>
      <c r="E62" s="23">
        <v>0.03</v>
      </c>
      <c r="F62" s="23">
        <v>0.04</v>
      </c>
    </row>
    <row r="63" spans="2:6" ht="15" customHeight="1" x14ac:dyDescent="0.3">
      <c r="B63" s="22">
        <v>45505</v>
      </c>
      <c r="C63" s="23">
        <v>0.02</v>
      </c>
      <c r="D63" s="23">
        <v>0.05</v>
      </c>
      <c r="E63" s="23">
        <v>0.04</v>
      </c>
      <c r="F63" s="23">
        <v>0.04</v>
      </c>
    </row>
    <row r="64" spans="2:6" ht="15" customHeight="1" x14ac:dyDescent="0.3">
      <c r="B64" s="22">
        <v>45536</v>
      </c>
      <c r="C64" s="23">
        <v>0.04</v>
      </c>
      <c r="D64" s="23">
        <v>0.04</v>
      </c>
      <c r="E64" s="23">
        <v>0.06</v>
      </c>
      <c r="F64" s="23">
        <v>0.03</v>
      </c>
    </row>
    <row r="65" spans="2:6" ht="15" customHeight="1" x14ac:dyDescent="0.3">
      <c r="B65" s="22">
        <v>45566</v>
      </c>
      <c r="C65" s="23">
        <v>0.01</v>
      </c>
      <c r="D65" s="23">
        <v>0.03</v>
      </c>
      <c r="E65" s="23">
        <v>0.06</v>
      </c>
      <c r="F65" s="23">
        <v>0.01</v>
      </c>
    </row>
    <row r="66" spans="2:6" ht="15" customHeight="1" x14ac:dyDescent="0.3">
      <c r="B66" s="22">
        <v>45597</v>
      </c>
      <c r="C66" s="23">
        <v>-0.01</v>
      </c>
      <c r="D66" s="23">
        <v>0.04</v>
      </c>
      <c r="E66" s="23">
        <v>0.08</v>
      </c>
      <c r="F66" s="23">
        <v>0</v>
      </c>
    </row>
    <row r="67" spans="2:6" ht="15" customHeight="1" x14ac:dyDescent="0.3">
      <c r="B67" s="22">
        <v>45627</v>
      </c>
      <c r="C67" s="23">
        <v>0</v>
      </c>
      <c r="D67" s="23">
        <v>0.05</v>
      </c>
      <c r="E67" s="23">
        <v>7.0000000000000007E-2</v>
      </c>
      <c r="F67" s="23">
        <v>0.04</v>
      </c>
    </row>
    <row r="68" spans="2:6" ht="15" customHeight="1" x14ac:dyDescent="0.3">
      <c r="B68" s="22">
        <v>45658</v>
      </c>
      <c r="C68" s="23">
        <v>0.02</v>
      </c>
      <c r="D68" s="23">
        <v>0.06</v>
      </c>
      <c r="E68" s="23">
        <v>0.08</v>
      </c>
      <c r="F68" s="23">
        <v>-0.03</v>
      </c>
    </row>
    <row r="69" spans="2:6" ht="15" customHeight="1" x14ac:dyDescent="0.3">
      <c r="B69" s="22">
        <v>45689</v>
      </c>
      <c r="C69" s="23">
        <v>0</v>
      </c>
      <c r="D69" s="23">
        <v>0.05</v>
      </c>
      <c r="E69" s="23">
        <v>0.09</v>
      </c>
      <c r="F69" s="23">
        <v>0.03</v>
      </c>
    </row>
    <row r="70" spans="2:6" ht="15" customHeight="1" x14ac:dyDescent="0.3">
      <c r="B70" s="22">
        <v>45717</v>
      </c>
      <c r="C70" s="23">
        <v>0.01</v>
      </c>
      <c r="D70" s="23">
        <v>0.04</v>
      </c>
      <c r="E70" s="23">
        <v>0.11</v>
      </c>
      <c r="F70" s="23">
        <v>0.01</v>
      </c>
    </row>
    <row r="71" spans="2:6" ht="15" customHeight="1" x14ac:dyDescent="0.3">
      <c r="B71" s="22">
        <v>45748</v>
      </c>
      <c r="C71" s="24">
        <v>5.3999999999999999E-2</v>
      </c>
      <c r="D71" s="24">
        <v>3.1E-2</v>
      </c>
      <c r="E71" s="24">
        <v>0.11700000000000001</v>
      </c>
      <c r="F71" s="24">
        <v>-1.4999999999999999E-2</v>
      </c>
    </row>
    <row r="72" spans="2:6" ht="15" customHeight="1" x14ac:dyDescent="0.3">
      <c r="B72" s="22">
        <v>45778</v>
      </c>
      <c r="C72" s="24">
        <v>1.7999999999999999E-2</v>
      </c>
      <c r="D72" s="24">
        <v>5.1999999999999998E-2</v>
      </c>
      <c r="E72" s="24">
        <v>0.13500000000000001</v>
      </c>
      <c r="F72" s="24">
        <v>2.5999999999999999E-2</v>
      </c>
    </row>
    <row r="73" spans="2:6" ht="15" customHeight="1" x14ac:dyDescent="0.3">
      <c r="B73" s="22">
        <v>45809</v>
      </c>
      <c r="C73" s="24">
        <v>5.0000000000000001E-3</v>
      </c>
      <c r="D73" s="24">
        <v>0.06</v>
      </c>
      <c r="E73" s="24">
        <v>0.10299999999999999</v>
      </c>
      <c r="F73" s="24">
        <v>3.2000000000000001E-2</v>
      </c>
    </row>
    <row r="74" spans="2:6" ht="15" customHeight="1" x14ac:dyDescent="0.3">
      <c r="B74" s="22">
        <v>45839</v>
      </c>
      <c r="C74" s="24">
        <v>1.2999999999999999E-2</v>
      </c>
      <c r="D74" s="24">
        <v>5.7000000000000002E-2</v>
      </c>
      <c r="E74" s="24">
        <v>0.182</v>
      </c>
      <c r="F74" s="24">
        <v>2.4E-2</v>
      </c>
    </row>
    <row r="75" spans="2:6" ht="15" customHeight="1" x14ac:dyDescent="0.3">
      <c r="B75" s="22">
        <v>45870</v>
      </c>
      <c r="C75" s="24">
        <v>4.0000000000000001E-3</v>
      </c>
      <c r="D75" s="24">
        <v>5.1999999999999998E-2</v>
      </c>
      <c r="E75" s="24">
        <v>0.125</v>
      </c>
      <c r="F75" s="24">
        <v>2.4E-2</v>
      </c>
    </row>
    <row r="76" spans="2:6" ht="15" customHeight="1" x14ac:dyDescent="0.3">
      <c r="B76" s="22">
        <v>45901</v>
      </c>
      <c r="C76" s="24">
        <v>8.9999999999999993E-3</v>
      </c>
      <c r="D76" s="24">
        <v>6.5000000000000002E-2</v>
      </c>
      <c r="E76" s="24">
        <v>0.14299999999999999</v>
      </c>
      <c r="F76" s="24">
        <v>3.3000000000000002E-2</v>
      </c>
    </row>
    <row r="77" spans="2:6" ht="15" customHeight="1" x14ac:dyDescent="0.3">
      <c r="B77" s="22">
        <v>45931</v>
      </c>
      <c r="C77" s="24">
        <v>0.01</v>
      </c>
      <c r="D77" s="24">
        <v>8.3000000000000004E-2</v>
      </c>
      <c r="E77" s="24">
        <v>9.8000000000000004E-2</v>
      </c>
      <c r="F77" s="24">
        <v>3.4000000000000002E-2</v>
      </c>
    </row>
    <row r="78" spans="2:6" ht="15" customHeight="1" x14ac:dyDescent="0.3">
      <c r="B78" s="22">
        <v>45962</v>
      </c>
      <c r="C78" s="24">
        <v>1.4999999999999999E-2</v>
      </c>
      <c r="D78" s="24">
        <v>5.8000000000000003E-2</v>
      </c>
      <c r="E78" s="24">
        <v>7.3999999999999996E-2</v>
      </c>
      <c r="F78" s="24">
        <v>4.3999999999999997E-2</v>
      </c>
    </row>
    <row r="79" spans="2:6" ht="15" customHeight="1" x14ac:dyDescent="0.3">
      <c r="B79" s="22">
        <v>45992</v>
      </c>
      <c r="C79" s="24">
        <v>2.4E-2</v>
      </c>
      <c r="D79" s="24">
        <v>4.3999999999999997E-2</v>
      </c>
      <c r="E79" s="24">
        <v>0.111</v>
      </c>
      <c r="F79" s="24">
        <v>4.2999999999999997E-2</v>
      </c>
    </row>
    <row r="80" spans="2:6" ht="15" customHeight="1" x14ac:dyDescent="0.3">
      <c r="B80" s="22">
        <v>46023</v>
      </c>
      <c r="C80" s="24">
        <v>2.7E-2</v>
      </c>
      <c r="D80" s="24">
        <v>3.5999999999999997E-2</v>
      </c>
      <c r="E80" s="24">
        <v>7.9000000000000001E-2</v>
      </c>
      <c r="F80" s="24">
        <v>0.05</v>
      </c>
    </row>
    <row r="81" spans="2:6" ht="15" customHeight="1" x14ac:dyDescent="0.3">
      <c r="B81" s="22">
        <v>46054</v>
      </c>
      <c r="C81" s="24">
        <v>2E-3</v>
      </c>
      <c r="D81" s="24">
        <v>5.6000000000000001E-2</v>
      </c>
      <c r="E81" s="24">
        <v>0.109</v>
      </c>
      <c r="F81" s="24">
        <v>3.1E-2</v>
      </c>
    </row>
    <row r="82" spans="2:6" ht="15" customHeight="1" x14ac:dyDescent="0.3">
      <c r="B82" s="22">
        <v>46082</v>
      </c>
      <c r="C82" s="25"/>
      <c r="D82" s="24">
        <v>4.5999999999999999E-2</v>
      </c>
      <c r="E82" s="25"/>
      <c r="F82" s="25"/>
    </row>
    <row r="83" spans="2:6" ht="15" customHeight="1" x14ac:dyDescent="0.3">
      <c r="B83" s="22">
        <v>46113</v>
      </c>
      <c r="C83" s="25"/>
      <c r="D83" s="25"/>
      <c r="E83" s="25"/>
      <c r="F83" s="25"/>
    </row>
    <row r="84" spans="2:6" ht="15" customHeight="1" x14ac:dyDescent="0.3">
      <c r="B84" s="22">
        <v>46143</v>
      </c>
      <c r="C84" s="25"/>
      <c r="D84" s="25"/>
      <c r="E84" s="25"/>
      <c r="F84" s="25"/>
    </row>
    <row r="86" spans="2:6" ht="15" customHeight="1" x14ac:dyDescent="0.3">
      <c r="B86" s="26" t="s">
        <v>80</v>
      </c>
      <c r="C86" s="39" t="s">
        <v>90</v>
      </c>
      <c r="D86" s="39"/>
      <c r="E86" s="39"/>
      <c r="F86" s="39"/>
    </row>
    <row r="87" spans="2:6" ht="15" customHeight="1" x14ac:dyDescent="0.3">
      <c r="B87" s="26" t="s">
        <v>82</v>
      </c>
      <c r="C87" s="40" t="s">
        <v>91</v>
      </c>
      <c r="D87" s="40"/>
      <c r="E87" s="40"/>
      <c r="F87" s="40"/>
    </row>
    <row r="88" spans="2:6" ht="15" customHeight="1" x14ac:dyDescent="0.3">
      <c r="B88" s="26" t="s">
        <v>82</v>
      </c>
      <c r="C88" s="40" t="s">
        <v>92</v>
      </c>
      <c r="D88" s="40"/>
      <c r="E88" s="40"/>
      <c r="F88" s="40"/>
    </row>
    <row r="89" spans="2:6" ht="15" customHeight="1" x14ac:dyDescent="0.3">
      <c r="B89" s="26" t="s">
        <v>82</v>
      </c>
      <c r="C89" s="40" t="s">
        <v>93</v>
      </c>
      <c r="D89" s="40"/>
      <c r="E89" s="40"/>
      <c r="F89" s="40"/>
    </row>
    <row r="90" spans="2:6" ht="15" customHeight="1" x14ac:dyDescent="0.3">
      <c r="B90" s="26" t="s">
        <v>82</v>
      </c>
      <c r="C90" s="40" t="s">
        <v>94</v>
      </c>
      <c r="D90" s="40"/>
      <c r="E90" s="40"/>
      <c r="F90" s="40"/>
    </row>
  </sheetData>
  <mergeCells count="5">
    <mergeCell ref="C86:F86"/>
    <mergeCell ref="C87:F87"/>
    <mergeCell ref="C88:F88"/>
    <mergeCell ref="C89:F89"/>
    <mergeCell ref="C90:F90"/>
  </mergeCells>
  <conditionalFormatting sqref="C7:F18">
    <cfRule type="colorScale" priority="3">
      <colorScale>
        <cfvo type="num" val="-0.06"/>
        <cfvo type="num" val="0"/>
        <cfvo type="num" val="0.06"/>
        <color rgb="FFF8696B"/>
        <color rgb="FFFFFFFF"/>
        <color rgb="FF63BE7B"/>
      </colorScale>
    </cfRule>
  </conditionalFormatting>
  <conditionalFormatting sqref="C19:F19">
    <cfRule type="colorScale" priority="4">
      <colorScale>
        <cfvo type="min"/>
        <cfvo type="max"/>
        <color rgb="FFFCFCFF"/>
        <color rgb="FF63BE7B"/>
      </colorScale>
    </cfRule>
  </conditionalFormatting>
  <printOptions horizontalCentered="1"/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73"/>
  <sheetViews>
    <sheetView showGridLines="0" zoomScaleNormal="100" workbookViewId="0">
      <selection activeCell="B6" sqref="B6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7" width="12" customWidth="1"/>
  </cols>
  <sheetData>
    <row r="2" spans="2:7" ht="19.5" customHeight="1" x14ac:dyDescent="0.4">
      <c r="B2" s="62" t="s">
        <v>95</v>
      </c>
    </row>
    <row r="3" spans="2:7" ht="15" customHeight="1" x14ac:dyDescent="0.35">
      <c r="B3" s="1" t="s">
        <v>96</v>
      </c>
    </row>
    <row r="5" spans="2:7" ht="15" customHeight="1" x14ac:dyDescent="0.4">
      <c r="B5" s="67" t="s">
        <v>144</v>
      </c>
      <c r="C5" s="18"/>
      <c r="D5" s="18"/>
      <c r="E5" s="18"/>
      <c r="F5" s="18"/>
      <c r="G5" s="18"/>
    </row>
    <row r="6" spans="2:7" ht="15" customHeight="1" x14ac:dyDescent="0.35">
      <c r="B6" s="84" t="s">
        <v>59</v>
      </c>
      <c r="C6" s="84" t="s">
        <v>60</v>
      </c>
      <c r="D6" s="84" t="s">
        <v>61</v>
      </c>
      <c r="E6" s="84" t="s">
        <v>62</v>
      </c>
      <c r="F6" s="84" t="s">
        <v>63</v>
      </c>
      <c r="G6" s="84" t="s">
        <v>64</v>
      </c>
    </row>
    <row r="7" spans="2:7" ht="15" customHeight="1" x14ac:dyDescent="0.35">
      <c r="B7" s="70" t="s">
        <v>97</v>
      </c>
      <c r="C7" s="28">
        <f t="shared" ref="C7:G18" si="0">IFERROR(IF(C53="","",C53),"")</f>
        <v>49.1</v>
      </c>
      <c r="D7" s="28">
        <f t="shared" si="0"/>
        <v>51.917404129793503</v>
      </c>
      <c r="E7" s="28">
        <f t="shared" si="0"/>
        <v>62.25</v>
      </c>
      <c r="F7" s="28">
        <f t="shared" si="0"/>
        <v>50.117443190000003</v>
      </c>
      <c r="G7" s="28">
        <f t="shared" si="0"/>
        <v>61.28</v>
      </c>
    </row>
    <row r="8" spans="2:7" ht="15" customHeight="1" x14ac:dyDescent="0.35">
      <c r="B8" s="70" t="s">
        <v>98</v>
      </c>
      <c r="C8" s="28">
        <f t="shared" si="0"/>
        <v>49.2</v>
      </c>
      <c r="D8" s="28">
        <f t="shared" si="0"/>
        <v>50.5208333333333</v>
      </c>
      <c r="E8" s="28">
        <f t="shared" si="0"/>
        <v>60.9</v>
      </c>
      <c r="F8" s="28">
        <f t="shared" si="0"/>
        <v>49.337817370000003</v>
      </c>
      <c r="G8" s="28">
        <f t="shared" si="0"/>
        <v>61.73</v>
      </c>
    </row>
    <row r="9" spans="2:7" ht="15" customHeight="1" x14ac:dyDescent="0.35">
      <c r="B9" s="70" t="s">
        <v>65</v>
      </c>
      <c r="C9" s="28">
        <f t="shared" si="0"/>
        <v>48</v>
      </c>
      <c r="D9" s="28">
        <f t="shared" si="0"/>
        <v>50.819672131147499</v>
      </c>
      <c r="E9" s="28">
        <f t="shared" si="0"/>
        <v>62.45</v>
      </c>
      <c r="F9" s="28">
        <f t="shared" si="0"/>
        <v>48.689455410000001</v>
      </c>
      <c r="G9" s="28">
        <f t="shared" si="0"/>
        <v>62.59</v>
      </c>
    </row>
    <row r="10" spans="2:7" ht="15" customHeight="1" x14ac:dyDescent="0.35">
      <c r="B10" s="70" t="s">
        <v>66</v>
      </c>
      <c r="C10" s="28">
        <f t="shared" si="0"/>
        <v>48.9</v>
      </c>
      <c r="D10" s="28">
        <f t="shared" si="0"/>
        <v>51.881720430107499</v>
      </c>
      <c r="E10" s="28">
        <f t="shared" si="0"/>
        <v>60.5</v>
      </c>
      <c r="F10" s="28">
        <f t="shared" si="0"/>
        <v>48.722202770000003</v>
      </c>
      <c r="G10" s="28">
        <f t="shared" si="0"/>
        <v>62.23</v>
      </c>
    </row>
    <row r="11" spans="2:7" ht="15" customHeight="1" x14ac:dyDescent="0.35">
      <c r="B11" s="70" t="s">
        <v>67</v>
      </c>
      <c r="C11" s="28">
        <f t="shared" si="0"/>
        <v>48.6</v>
      </c>
      <c r="D11" s="28">
        <f t="shared" si="0"/>
        <v>50.4065040650407</v>
      </c>
      <c r="E11" s="28">
        <f t="shared" si="0"/>
        <v>62</v>
      </c>
      <c r="F11" s="28">
        <f t="shared" si="0"/>
        <v>48.623622089999998</v>
      </c>
      <c r="G11" s="28">
        <f t="shared" si="0"/>
        <v>60.33</v>
      </c>
    </row>
    <row r="12" spans="2:7" ht="15" customHeight="1" x14ac:dyDescent="0.35">
      <c r="B12" s="70" t="s">
        <v>68</v>
      </c>
      <c r="C12" s="28">
        <f t="shared" si="0"/>
        <v>47.3</v>
      </c>
      <c r="D12" s="28">
        <f t="shared" si="0"/>
        <v>51.2</v>
      </c>
      <c r="E12" s="28">
        <f t="shared" si="0"/>
        <v>63.6</v>
      </c>
      <c r="F12" s="28">
        <f t="shared" si="0"/>
        <v>48.968333459999997</v>
      </c>
      <c r="G12" s="28">
        <f t="shared" si="0"/>
        <v>61.62</v>
      </c>
    </row>
    <row r="13" spans="2:7" ht="15" customHeight="1" x14ac:dyDescent="0.35">
      <c r="B13" s="70" t="s">
        <v>69</v>
      </c>
      <c r="C13" s="28">
        <f t="shared" si="0"/>
        <v>46.1</v>
      </c>
      <c r="D13" s="28">
        <f t="shared" si="0"/>
        <v>47.899159663865497</v>
      </c>
      <c r="E13" s="28">
        <f t="shared" si="0"/>
        <v>63.25</v>
      </c>
      <c r="F13" s="28">
        <f t="shared" si="0"/>
        <v>49.302656720000002</v>
      </c>
      <c r="G13" s="28">
        <f t="shared" si="0"/>
        <v>61.95</v>
      </c>
    </row>
    <row r="14" spans="2:7" ht="15" customHeight="1" x14ac:dyDescent="0.35">
      <c r="B14" s="70" t="s">
        <v>70</v>
      </c>
      <c r="C14" s="28">
        <f t="shared" si="0"/>
        <v>46.2</v>
      </c>
      <c r="D14" s="28">
        <f t="shared" si="0"/>
        <v>50.150150150150097</v>
      </c>
      <c r="E14" s="28">
        <f t="shared" si="0"/>
        <v>60.2</v>
      </c>
      <c r="F14" s="28">
        <f t="shared" si="0"/>
        <v>49.319399060000002</v>
      </c>
      <c r="G14" s="28">
        <f t="shared" si="0"/>
        <v>64.510000000000005</v>
      </c>
    </row>
    <row r="15" spans="2:7" ht="15" customHeight="1" x14ac:dyDescent="0.35">
      <c r="B15" s="70" t="s">
        <v>71</v>
      </c>
      <c r="C15" s="28">
        <f t="shared" si="0"/>
        <v>47.2</v>
      </c>
      <c r="D15" s="28">
        <f t="shared" si="0"/>
        <v>49.107142857142797</v>
      </c>
      <c r="E15" s="28">
        <f t="shared" si="0"/>
        <v>61.05</v>
      </c>
      <c r="F15" s="28">
        <f t="shared" si="0"/>
        <v>48.512275770000002</v>
      </c>
      <c r="G15" s="28">
        <f t="shared" si="0"/>
        <v>65.73</v>
      </c>
    </row>
    <row r="16" spans="2:7" ht="15" customHeight="1" x14ac:dyDescent="0.35">
      <c r="B16" s="70" t="s">
        <v>72</v>
      </c>
      <c r="C16" s="28">
        <f t="shared" si="0"/>
        <v>48.3</v>
      </c>
      <c r="D16" s="28">
        <f t="shared" si="0"/>
        <v>52.066115702479301</v>
      </c>
      <c r="E16" s="28">
        <f t="shared" si="0"/>
        <v>61.15</v>
      </c>
      <c r="F16" s="28">
        <f t="shared" si="0"/>
        <v>48.303113629999999</v>
      </c>
      <c r="G16" s="28">
        <f t="shared" si="0"/>
        <v>66.150000000000006</v>
      </c>
    </row>
    <row r="17" spans="2:7" ht="15" customHeight="1" x14ac:dyDescent="0.35">
      <c r="B17" s="70" t="s">
        <v>73</v>
      </c>
      <c r="C17" s="28">
        <f t="shared" si="0"/>
        <v>48</v>
      </c>
      <c r="D17" s="28">
        <f t="shared" si="0"/>
        <v>53.623188405797102</v>
      </c>
      <c r="E17" s="28">
        <f t="shared" si="0"/>
        <v>58.9</v>
      </c>
      <c r="F17" s="28">
        <f t="shared" si="0"/>
        <v>48.148130289999997</v>
      </c>
      <c r="G17" s="28">
        <f t="shared" si="0"/>
        <v>64.56</v>
      </c>
    </row>
    <row r="18" spans="2:7" ht="15" customHeight="1" x14ac:dyDescent="0.35">
      <c r="B18" s="70" t="s">
        <v>74</v>
      </c>
      <c r="C18" s="28">
        <f t="shared" si="0"/>
        <v>48.5</v>
      </c>
      <c r="D18" s="28">
        <f t="shared" si="0"/>
        <v>57.614942528735597</v>
      </c>
      <c r="E18" s="28">
        <f t="shared" si="0"/>
        <v>63</v>
      </c>
      <c r="F18" s="28">
        <f t="shared" si="0"/>
        <v>48.004239869999999</v>
      </c>
      <c r="G18" s="28">
        <f t="shared" si="0"/>
        <v>67.56</v>
      </c>
    </row>
    <row r="19" spans="2:7" ht="15" customHeight="1" x14ac:dyDescent="0.35">
      <c r="B19" s="74" t="s">
        <v>75</v>
      </c>
      <c r="C19" s="28">
        <f t="shared" ref="C19:G19" si="1">IFERROR(IF(C65="","",C65),"")</f>
        <v>47</v>
      </c>
      <c r="D19" s="28">
        <f t="shared" si="1"/>
        <v>57.669616519173999</v>
      </c>
      <c r="E19" s="28">
        <f t="shared" si="1"/>
        <v>61.3</v>
      </c>
      <c r="F19" s="28">
        <f t="shared" si="1"/>
        <v>48.796111430000003</v>
      </c>
      <c r="G19" s="28">
        <f t="shared" si="1"/>
        <v>62.01</v>
      </c>
    </row>
    <row r="20" spans="2:7" ht="15" customHeight="1" thickBot="1" x14ac:dyDescent="0.4">
      <c r="B20" s="74" t="s">
        <v>76</v>
      </c>
      <c r="C20" s="28">
        <f t="shared" ref="C20:G20" si="2">IFERROR(IF(C66="","",C66),"")</f>
        <v>46.6</v>
      </c>
      <c r="D20" s="28">
        <f t="shared" si="2"/>
        <v>53.003003003003002</v>
      </c>
      <c r="E20" s="28">
        <f t="shared" si="2"/>
        <v>61.4</v>
      </c>
      <c r="F20" s="28">
        <f t="shared" si="2"/>
        <v>48.442274099999999</v>
      </c>
      <c r="G20" s="28">
        <f t="shared" si="2"/>
        <v>62.12</v>
      </c>
    </row>
    <row r="21" spans="2:7" ht="15" customHeight="1" thickBot="1" x14ac:dyDescent="0.4">
      <c r="B21" s="71" t="s">
        <v>77</v>
      </c>
      <c r="C21" s="75">
        <f>IFERROR(AVERAGE(C7:C20),"")</f>
        <v>47.785714285714292</v>
      </c>
      <c r="D21" s="75">
        <f t="shared" ref="D21:G21" si="3">IFERROR(AVERAGE(D7:D20),"")</f>
        <v>51.991389494269264</v>
      </c>
      <c r="E21" s="75">
        <f t="shared" si="3"/>
        <v>61.567857142857136</v>
      </c>
      <c r="F21" s="75">
        <f t="shared" si="3"/>
        <v>48.806219654285712</v>
      </c>
      <c r="G21" s="76">
        <f t="shared" si="3"/>
        <v>63.169285714285699</v>
      </c>
    </row>
    <row r="24" spans="2:7" ht="15" customHeight="1" x14ac:dyDescent="0.35">
      <c r="B24" s="63" t="s">
        <v>78</v>
      </c>
    </row>
    <row r="25" spans="2:7" ht="15" customHeight="1" x14ac:dyDescent="0.35">
      <c r="B25" s="61" t="s">
        <v>79</v>
      </c>
      <c r="C25" s="61" t="s">
        <v>60</v>
      </c>
      <c r="D25" s="61" t="s">
        <v>61</v>
      </c>
      <c r="E25" s="61" t="s">
        <v>62</v>
      </c>
      <c r="F25" s="61" t="s">
        <v>63</v>
      </c>
      <c r="G25" s="61" t="s">
        <v>64</v>
      </c>
    </row>
    <row r="26" spans="2:7" ht="15" customHeight="1" x14ac:dyDescent="0.35">
      <c r="B26" s="4">
        <v>44866</v>
      </c>
      <c r="C26" s="9">
        <v>60</v>
      </c>
      <c r="D26" s="10">
        <v>40.291262135922302</v>
      </c>
      <c r="E26" s="10">
        <v>59.6</v>
      </c>
      <c r="F26" s="10">
        <v>49.603000000000002</v>
      </c>
      <c r="G26" s="10">
        <v>49.46</v>
      </c>
    </row>
    <row r="27" spans="2:7" ht="15" customHeight="1" x14ac:dyDescent="0.35">
      <c r="B27" s="4">
        <v>44896</v>
      </c>
      <c r="C27" s="9">
        <v>51</v>
      </c>
      <c r="D27" s="10">
        <v>42.320261437908499</v>
      </c>
      <c r="E27" s="10">
        <v>61.3</v>
      </c>
      <c r="F27" s="10">
        <v>47.402000000000001</v>
      </c>
      <c r="G27" s="10">
        <v>58.49</v>
      </c>
    </row>
    <row r="28" spans="2:7" ht="15" customHeight="1" x14ac:dyDescent="0.35">
      <c r="B28" s="4">
        <v>44927</v>
      </c>
      <c r="C28" s="9">
        <v>53</v>
      </c>
      <c r="D28" s="10">
        <v>42.948717948717899</v>
      </c>
      <c r="E28" s="10">
        <v>64.849999999999994</v>
      </c>
      <c r="F28" s="10">
        <v>48.55</v>
      </c>
      <c r="G28" s="10">
        <v>50.94</v>
      </c>
    </row>
    <row r="29" spans="2:7" ht="15" customHeight="1" x14ac:dyDescent="0.35">
      <c r="B29" s="4">
        <v>44958</v>
      </c>
      <c r="C29" s="9">
        <v>52</v>
      </c>
      <c r="D29" s="10">
        <v>42.857142857142897</v>
      </c>
      <c r="E29" s="10">
        <v>56.35</v>
      </c>
      <c r="F29" s="10">
        <v>51.774999999999999</v>
      </c>
      <c r="G29" s="10">
        <v>54.7</v>
      </c>
    </row>
    <row r="30" spans="2:7" ht="15" customHeight="1" x14ac:dyDescent="0.35">
      <c r="B30" s="4">
        <v>44986</v>
      </c>
      <c r="C30" s="9">
        <v>49</v>
      </c>
      <c r="D30" s="10">
        <v>44.8333333333333</v>
      </c>
      <c r="E30" s="10">
        <v>58.6</v>
      </c>
      <c r="F30" s="10">
        <v>53.610999999999997</v>
      </c>
      <c r="G30" s="10">
        <v>54.53</v>
      </c>
    </row>
    <row r="31" spans="2:7" ht="15" customHeight="1" x14ac:dyDescent="0.35">
      <c r="B31" s="4">
        <v>45017</v>
      </c>
      <c r="C31" s="9">
        <v>50</v>
      </c>
      <c r="D31" s="10">
        <v>43.0555555555556</v>
      </c>
      <c r="E31" s="10">
        <v>55.55</v>
      </c>
      <c r="F31" s="10">
        <v>54.776000000000003</v>
      </c>
      <c r="G31" s="10">
        <v>54.28</v>
      </c>
    </row>
    <row r="32" spans="2:7" ht="15" customHeight="1" x14ac:dyDescent="0.35">
      <c r="B32" s="4">
        <v>45047</v>
      </c>
      <c r="C32" s="9">
        <v>51</v>
      </c>
      <c r="D32" s="10">
        <v>43.956043956043999</v>
      </c>
      <c r="E32" s="10">
        <v>70</v>
      </c>
      <c r="F32" s="10">
        <v>55.68</v>
      </c>
      <c r="G32" s="10">
        <v>57.98</v>
      </c>
    </row>
    <row r="33" spans="2:7" ht="15" customHeight="1" x14ac:dyDescent="0.35">
      <c r="B33" s="4">
        <v>45078</v>
      </c>
      <c r="C33" s="9">
        <v>49</v>
      </c>
      <c r="D33" s="10">
        <v>44.565217391304401</v>
      </c>
      <c r="E33" s="10">
        <v>58.9</v>
      </c>
      <c r="F33" s="10">
        <v>54.954999999999998</v>
      </c>
      <c r="G33" s="10">
        <v>54.47</v>
      </c>
    </row>
    <row r="34" spans="2:7" ht="15" customHeight="1" x14ac:dyDescent="0.35">
      <c r="B34" s="4">
        <v>45108</v>
      </c>
      <c r="C34" s="9">
        <v>49</v>
      </c>
      <c r="D34" s="10">
        <v>46.415770609318997</v>
      </c>
      <c r="E34" s="10">
        <v>60.85</v>
      </c>
      <c r="F34" s="10">
        <v>56.536000000000001</v>
      </c>
      <c r="G34" s="10">
        <v>54.28</v>
      </c>
    </row>
    <row r="35" spans="2:7" ht="15" customHeight="1" x14ac:dyDescent="0.35">
      <c r="B35" s="4">
        <v>45139</v>
      </c>
      <c r="C35" s="9">
        <v>51</v>
      </c>
      <c r="D35" s="10">
        <v>46.5579710144928</v>
      </c>
      <c r="E35" s="10">
        <v>56.2</v>
      </c>
      <c r="F35" s="10">
        <v>56.436</v>
      </c>
      <c r="G35" s="10">
        <v>56.25</v>
      </c>
    </row>
    <row r="36" spans="2:7" ht="15" customHeight="1" x14ac:dyDescent="0.35">
      <c r="B36" s="4">
        <v>45170</v>
      </c>
      <c r="C36" s="9">
        <v>50</v>
      </c>
      <c r="D36" s="10">
        <v>47.286821705426398</v>
      </c>
      <c r="E36" s="10">
        <v>57.55</v>
      </c>
      <c r="F36" s="10">
        <v>56.360999999999997</v>
      </c>
      <c r="G36" s="10">
        <v>53.15</v>
      </c>
    </row>
    <row r="37" spans="2:7" ht="15" customHeight="1" x14ac:dyDescent="0.35">
      <c r="B37" s="4">
        <v>45200</v>
      </c>
      <c r="C37" s="9">
        <v>51</v>
      </c>
      <c r="D37" s="10">
        <v>45.604395604395599</v>
      </c>
      <c r="E37" s="10">
        <v>57.35</v>
      </c>
      <c r="F37" s="10">
        <v>55.448999999999998</v>
      </c>
      <c r="G37" s="10">
        <v>50.6</v>
      </c>
    </row>
    <row r="38" spans="2:7" ht="15" customHeight="1" x14ac:dyDescent="0.35">
      <c r="B38" s="4">
        <v>45231</v>
      </c>
      <c r="C38" s="9">
        <v>53</v>
      </c>
      <c r="D38" s="10">
        <v>44.767441860465098</v>
      </c>
      <c r="E38" s="10">
        <v>56.15</v>
      </c>
      <c r="F38" s="10">
        <v>56.048000000000002</v>
      </c>
      <c r="G38" s="10">
        <v>51.36</v>
      </c>
    </row>
    <row r="39" spans="2:7" ht="15" customHeight="1" x14ac:dyDescent="0.35">
      <c r="B39" s="4">
        <v>45261</v>
      </c>
      <c r="C39" s="9">
        <v>50</v>
      </c>
      <c r="D39" s="10">
        <v>46.481481481481502</v>
      </c>
      <c r="E39" s="10">
        <v>58.3</v>
      </c>
      <c r="F39" s="10">
        <v>56.167999999999999</v>
      </c>
      <c r="G39" s="10">
        <v>56.63</v>
      </c>
    </row>
    <row r="40" spans="2:7" ht="15" customHeight="1" x14ac:dyDescent="0.35">
      <c r="B40" s="4">
        <v>45292</v>
      </c>
      <c r="C40" s="9">
        <v>50</v>
      </c>
      <c r="D40" s="10">
        <v>48.995983935742998</v>
      </c>
      <c r="E40" s="10">
        <v>57.25</v>
      </c>
      <c r="F40" s="10">
        <v>55.970999999999997</v>
      </c>
      <c r="G40" s="10">
        <v>55.38</v>
      </c>
    </row>
    <row r="41" spans="2:7" ht="15" customHeight="1" x14ac:dyDescent="0.35">
      <c r="B41" s="4">
        <v>45323</v>
      </c>
      <c r="C41" s="9">
        <v>51</v>
      </c>
      <c r="D41" s="10">
        <v>50</v>
      </c>
      <c r="E41" s="10">
        <v>55.45</v>
      </c>
      <c r="F41" s="10">
        <v>54.975000000000001</v>
      </c>
      <c r="G41" s="10">
        <v>60.83</v>
      </c>
    </row>
    <row r="42" spans="2:7" ht="15" customHeight="1" x14ac:dyDescent="0.35">
      <c r="B42" s="4">
        <v>45352</v>
      </c>
      <c r="C42" s="9">
        <v>53</v>
      </c>
      <c r="D42" s="10">
        <v>52.551020408163303</v>
      </c>
      <c r="E42" s="10">
        <v>57.05</v>
      </c>
      <c r="F42" s="10">
        <v>54.756999999999998</v>
      </c>
      <c r="G42" s="10">
        <v>60.42</v>
      </c>
    </row>
    <row r="43" spans="2:7" ht="15" customHeight="1" x14ac:dyDescent="0.35">
      <c r="B43" s="4">
        <v>45383</v>
      </c>
      <c r="C43" s="9">
        <v>53</v>
      </c>
      <c r="D43" s="10">
        <v>48.387096774193601</v>
      </c>
      <c r="E43" s="10">
        <v>57.65</v>
      </c>
      <c r="F43" s="10">
        <v>54.957000000000001</v>
      </c>
      <c r="G43" s="10">
        <v>58.65</v>
      </c>
    </row>
    <row r="44" spans="2:7" ht="15" customHeight="1" x14ac:dyDescent="0.35">
      <c r="B44" s="4">
        <v>45413</v>
      </c>
      <c r="C44" s="9">
        <v>53</v>
      </c>
      <c r="D44" s="10">
        <v>48.148148148148202</v>
      </c>
      <c r="E44" s="10">
        <v>56.25</v>
      </c>
      <c r="F44" s="10">
        <v>54.636885820000003</v>
      </c>
      <c r="G44" s="10">
        <v>60.2</v>
      </c>
    </row>
    <row r="45" spans="2:7" ht="15" customHeight="1" x14ac:dyDescent="0.35">
      <c r="B45" s="4">
        <v>45444</v>
      </c>
      <c r="C45" s="9">
        <v>51</v>
      </c>
      <c r="D45" s="10">
        <v>51.481481481481502</v>
      </c>
      <c r="E45" s="10">
        <v>54.3</v>
      </c>
      <c r="F45" s="10">
        <v>53.149893380000002</v>
      </c>
      <c r="G45" s="10">
        <v>59.23</v>
      </c>
    </row>
    <row r="46" spans="2:7" ht="15" customHeight="1" x14ac:dyDescent="0.35">
      <c r="B46" s="4">
        <v>45474</v>
      </c>
      <c r="C46" s="9">
        <v>52</v>
      </c>
      <c r="D46" s="10">
        <v>49.059139784946197</v>
      </c>
      <c r="E46" s="10">
        <v>58.5</v>
      </c>
      <c r="F46" s="10">
        <v>53.492096029999999</v>
      </c>
      <c r="G46" s="10">
        <v>60.12</v>
      </c>
    </row>
    <row r="47" spans="2:7" ht="15" customHeight="1" x14ac:dyDescent="0.35">
      <c r="B47" s="4">
        <v>45505</v>
      </c>
      <c r="C47" s="9">
        <v>52</v>
      </c>
      <c r="D47" s="10">
        <v>49.553571428571402</v>
      </c>
      <c r="E47" s="10">
        <v>56.9</v>
      </c>
      <c r="F47" s="10">
        <v>52.740525730000002</v>
      </c>
      <c r="G47" s="10">
        <v>60.73</v>
      </c>
    </row>
    <row r="48" spans="2:7" ht="15" customHeight="1" x14ac:dyDescent="0.35">
      <c r="B48" s="4">
        <v>45536</v>
      </c>
      <c r="C48" s="9">
        <v>50</v>
      </c>
      <c r="D48" s="10">
        <v>48.967551622418902</v>
      </c>
      <c r="E48" s="10">
        <v>56.1</v>
      </c>
      <c r="F48" s="10">
        <v>50.985504560000003</v>
      </c>
      <c r="G48" s="10">
        <v>60.04</v>
      </c>
    </row>
    <row r="49" spans="2:9" ht="15" customHeight="1" x14ac:dyDescent="0.35">
      <c r="B49" s="4">
        <v>45566</v>
      </c>
      <c r="C49" s="9">
        <v>51</v>
      </c>
      <c r="D49" s="10">
        <v>48.473282442748101</v>
      </c>
      <c r="E49" s="10">
        <v>58.9</v>
      </c>
      <c r="F49" s="10">
        <v>51.906183200000001</v>
      </c>
      <c r="G49" s="10">
        <v>62.15</v>
      </c>
    </row>
    <row r="50" spans="2:9" ht="15" customHeight="1" x14ac:dyDescent="0.35">
      <c r="B50" s="4">
        <v>45597</v>
      </c>
      <c r="C50" s="9">
        <v>53</v>
      </c>
      <c r="D50" s="10">
        <v>48.717948717948701</v>
      </c>
      <c r="E50" s="10">
        <v>58.8</v>
      </c>
      <c r="F50" s="10">
        <v>51.484636350000002</v>
      </c>
      <c r="G50" s="10">
        <v>60.48</v>
      </c>
    </row>
    <row r="51" spans="2:9" ht="15" customHeight="1" x14ac:dyDescent="0.35">
      <c r="B51" s="4">
        <v>45627</v>
      </c>
      <c r="C51" s="9">
        <v>53</v>
      </c>
      <c r="D51" s="10">
        <v>48.425196850393696</v>
      </c>
      <c r="E51" s="10">
        <v>60.3</v>
      </c>
      <c r="F51" s="10">
        <v>51.896619829999999</v>
      </c>
      <c r="G51" s="10">
        <v>58.76</v>
      </c>
    </row>
    <row r="52" spans="2:9" ht="15" customHeight="1" x14ac:dyDescent="0.35">
      <c r="B52" s="4">
        <v>45658</v>
      </c>
      <c r="C52" s="9">
        <v>51</v>
      </c>
      <c r="D52" s="10">
        <v>50.6410256410256</v>
      </c>
      <c r="E52" s="10">
        <v>60.8</v>
      </c>
      <c r="F52" s="10">
        <v>51.374906780000003</v>
      </c>
      <c r="G52" s="10">
        <v>64.53</v>
      </c>
    </row>
    <row r="53" spans="2:9" ht="15" customHeight="1" x14ac:dyDescent="0.35">
      <c r="B53" s="4">
        <v>45689</v>
      </c>
      <c r="C53" s="11">
        <v>49.1</v>
      </c>
      <c r="D53" s="10">
        <v>51.917404129793503</v>
      </c>
      <c r="E53" s="10">
        <v>62.25</v>
      </c>
      <c r="F53" s="10">
        <v>50.117443190000003</v>
      </c>
      <c r="G53" s="10">
        <v>61.28</v>
      </c>
    </row>
    <row r="54" spans="2:9" ht="15" customHeight="1" x14ac:dyDescent="0.35">
      <c r="B54" s="4">
        <v>45717</v>
      </c>
      <c r="C54" s="11">
        <v>49.2</v>
      </c>
      <c r="D54" s="10">
        <v>50.5208333333333</v>
      </c>
      <c r="E54" s="10">
        <v>60.9</v>
      </c>
      <c r="F54" s="10">
        <v>49.337817370000003</v>
      </c>
      <c r="G54" s="10">
        <v>61.73</v>
      </c>
    </row>
    <row r="55" spans="2:9" ht="15" customHeight="1" x14ac:dyDescent="0.35">
      <c r="B55" s="4">
        <v>45748</v>
      </c>
      <c r="C55" s="11">
        <v>48</v>
      </c>
      <c r="D55" s="10">
        <v>50.819672131147499</v>
      </c>
      <c r="E55" s="10">
        <v>62.45</v>
      </c>
      <c r="F55" s="10">
        <v>48.689455410000001</v>
      </c>
      <c r="G55" s="10">
        <v>62.59</v>
      </c>
    </row>
    <row r="56" spans="2:9" ht="15" customHeight="1" x14ac:dyDescent="0.35">
      <c r="B56" s="4">
        <v>45778</v>
      </c>
      <c r="C56" s="11">
        <v>48.9</v>
      </c>
      <c r="D56" s="10">
        <v>51.881720430107499</v>
      </c>
      <c r="E56" s="10">
        <v>60.5</v>
      </c>
      <c r="F56" s="10">
        <v>48.722202770000003</v>
      </c>
      <c r="G56" s="10">
        <v>62.23</v>
      </c>
    </row>
    <row r="57" spans="2:9" ht="15" customHeight="1" x14ac:dyDescent="0.35">
      <c r="B57" s="4">
        <v>45809</v>
      </c>
      <c r="C57" s="11">
        <v>48.6</v>
      </c>
      <c r="D57" s="10">
        <v>50.4065040650407</v>
      </c>
      <c r="E57" s="10">
        <v>62</v>
      </c>
      <c r="F57" s="10">
        <v>48.623622089999998</v>
      </c>
      <c r="G57" s="10">
        <v>60.33</v>
      </c>
    </row>
    <row r="58" spans="2:9" ht="15" customHeight="1" x14ac:dyDescent="0.35">
      <c r="B58" s="4">
        <v>45839</v>
      </c>
      <c r="C58" s="11">
        <v>47.3</v>
      </c>
      <c r="D58" s="10">
        <v>51.2</v>
      </c>
      <c r="E58" s="10">
        <v>63.6</v>
      </c>
      <c r="F58" s="10">
        <v>48.968333459999997</v>
      </c>
      <c r="G58" s="10">
        <v>61.62</v>
      </c>
    </row>
    <row r="59" spans="2:9" ht="15" customHeight="1" x14ac:dyDescent="0.35">
      <c r="B59" s="4">
        <v>45870</v>
      </c>
      <c r="C59" s="11">
        <v>46.1</v>
      </c>
      <c r="D59" s="10">
        <v>47.899159663865497</v>
      </c>
      <c r="E59" s="10">
        <v>63.25</v>
      </c>
      <c r="F59" s="10">
        <v>49.302656720000002</v>
      </c>
      <c r="G59" s="10">
        <v>61.95</v>
      </c>
    </row>
    <row r="60" spans="2:9" ht="15" customHeight="1" x14ac:dyDescent="0.35">
      <c r="B60" s="4">
        <v>45901</v>
      </c>
      <c r="C60" s="11">
        <v>46.2</v>
      </c>
      <c r="D60" s="10">
        <v>50.150150150150097</v>
      </c>
      <c r="E60" s="10">
        <v>60.2</v>
      </c>
      <c r="F60" s="10">
        <v>49.319399060000002</v>
      </c>
      <c r="G60" s="10">
        <v>64.510000000000005</v>
      </c>
      <c r="I60" s="29"/>
    </row>
    <row r="61" spans="2:9" ht="15" customHeight="1" x14ac:dyDescent="0.35">
      <c r="B61" s="4">
        <v>45931</v>
      </c>
      <c r="C61" s="11">
        <v>47.2</v>
      </c>
      <c r="D61" s="10">
        <v>49.107142857142797</v>
      </c>
      <c r="E61" s="10">
        <v>61.05</v>
      </c>
      <c r="F61" s="10">
        <v>48.512275770000002</v>
      </c>
      <c r="G61" s="10">
        <v>65.73</v>
      </c>
    </row>
    <row r="62" spans="2:9" ht="15" customHeight="1" x14ac:dyDescent="0.35">
      <c r="B62" s="4">
        <v>45962</v>
      </c>
      <c r="C62" s="11">
        <v>48.3</v>
      </c>
      <c r="D62" s="10">
        <v>52.066115702479301</v>
      </c>
      <c r="E62" s="10">
        <v>61.15</v>
      </c>
      <c r="F62" s="10">
        <v>48.303113629999999</v>
      </c>
      <c r="G62" s="10">
        <v>66.150000000000006</v>
      </c>
    </row>
    <row r="63" spans="2:9" ht="15" customHeight="1" x14ac:dyDescent="0.35">
      <c r="B63" s="4">
        <v>45992</v>
      </c>
      <c r="C63" s="11">
        <v>48</v>
      </c>
      <c r="D63" s="10">
        <v>53.623188405797102</v>
      </c>
      <c r="E63" s="10">
        <v>58.9</v>
      </c>
      <c r="F63" s="10">
        <v>48.148130289999997</v>
      </c>
      <c r="G63" s="10">
        <v>64.56</v>
      </c>
    </row>
    <row r="64" spans="2:9" ht="15" customHeight="1" x14ac:dyDescent="0.35">
      <c r="B64" s="4">
        <v>46023</v>
      </c>
      <c r="C64" s="11">
        <v>48.5</v>
      </c>
      <c r="D64" s="10">
        <v>57.614942528735597</v>
      </c>
      <c r="E64" s="10">
        <v>63</v>
      </c>
      <c r="F64" s="10">
        <v>48.004239869999999</v>
      </c>
      <c r="G64" s="10">
        <v>67.56</v>
      </c>
    </row>
    <row r="65" spans="2:7" ht="15" customHeight="1" x14ac:dyDescent="0.35">
      <c r="B65" s="4">
        <v>46054</v>
      </c>
      <c r="C65" s="10">
        <v>47</v>
      </c>
      <c r="D65" s="10">
        <v>57.669616519173999</v>
      </c>
      <c r="E65" s="10">
        <v>61.3</v>
      </c>
      <c r="F65" s="10">
        <v>48.796111430000003</v>
      </c>
      <c r="G65" s="10">
        <v>62.01</v>
      </c>
    </row>
    <row r="66" spans="2:7" ht="15" customHeight="1" x14ac:dyDescent="0.35">
      <c r="B66" s="4">
        <v>46082</v>
      </c>
      <c r="C66" s="10">
        <v>46.6</v>
      </c>
      <c r="D66" s="10">
        <v>53.003003003003002</v>
      </c>
      <c r="E66" s="10">
        <v>61.4</v>
      </c>
      <c r="F66" s="10">
        <v>48.442274099999999</v>
      </c>
      <c r="G66" s="10">
        <v>62.12</v>
      </c>
    </row>
    <row r="67" spans="2:7" ht="15" customHeight="1" x14ac:dyDescent="0.35">
      <c r="B67" s="4">
        <v>46113</v>
      </c>
      <c r="C67" s="10">
        <v>45.2</v>
      </c>
      <c r="D67" s="10">
        <v>53.735632183908102</v>
      </c>
      <c r="E67" s="12"/>
      <c r="F67" s="10">
        <v>48.304649779999998</v>
      </c>
      <c r="G67" s="12"/>
    </row>
    <row r="68" spans="2:7" ht="15" customHeight="1" x14ac:dyDescent="0.35">
      <c r="B68" s="4">
        <v>46143</v>
      </c>
      <c r="C68" s="12"/>
      <c r="D68" s="12"/>
      <c r="E68" s="12"/>
      <c r="F68" s="12"/>
      <c r="G68" s="12"/>
    </row>
    <row r="70" spans="2:7" ht="15" customHeight="1" x14ac:dyDescent="0.35">
      <c r="B70" s="2" t="s">
        <v>80</v>
      </c>
      <c r="C70" s="37" t="s">
        <v>99</v>
      </c>
      <c r="D70" s="37"/>
      <c r="E70" s="37"/>
      <c r="F70" s="37"/>
      <c r="G70" s="37"/>
    </row>
    <row r="71" spans="2:7" ht="15" customHeight="1" x14ac:dyDescent="0.35">
      <c r="B71" s="2" t="s">
        <v>82</v>
      </c>
      <c r="C71" s="38" t="s">
        <v>100</v>
      </c>
      <c r="D71" s="38"/>
      <c r="E71" s="38"/>
      <c r="F71" s="38"/>
      <c r="G71" s="38"/>
    </row>
    <row r="72" spans="2:7" ht="15" customHeight="1" x14ac:dyDescent="0.35">
      <c r="B72" s="2" t="s">
        <v>82</v>
      </c>
      <c r="C72" s="38" t="s">
        <v>101</v>
      </c>
      <c r="D72" s="38"/>
      <c r="E72" s="38"/>
      <c r="F72" s="38"/>
      <c r="G72" s="38"/>
    </row>
    <row r="73" spans="2:7" ht="15" customHeight="1" x14ac:dyDescent="0.35">
      <c r="B73" s="2" t="s">
        <v>82</v>
      </c>
      <c r="C73" s="38" t="s">
        <v>102</v>
      </c>
      <c r="D73" s="38"/>
      <c r="E73" s="38"/>
      <c r="F73" s="38"/>
      <c r="G73" s="38"/>
    </row>
  </sheetData>
  <mergeCells count="4">
    <mergeCell ref="C70:G70"/>
    <mergeCell ref="C71:G71"/>
    <mergeCell ref="C72:G72"/>
    <mergeCell ref="C73:G73"/>
  </mergeCells>
  <conditionalFormatting sqref="C7:G20">
    <cfRule type="colorScale" priority="3">
      <colorScale>
        <cfvo type="num" val="40"/>
        <cfvo type="num" val="50"/>
        <cfvo type="num" val="70"/>
        <color rgb="FFF8696B"/>
        <color rgb="FFFFFFFF"/>
        <color rgb="FF63BE7B"/>
      </colorScale>
    </cfRule>
  </conditionalFormatting>
  <conditionalFormatting sqref="C21:G21">
    <cfRule type="colorScale" priority="1">
      <colorScale>
        <cfvo type="num" val="40"/>
        <cfvo type="num" val="50"/>
        <cfvo type="num" val="70"/>
        <color rgb="FFF8696B"/>
        <color rgb="FFFFFFFF"/>
        <color rgb="FF63BE7B"/>
      </colorScale>
    </cfRule>
  </conditionalFormatting>
  <printOptions horizontalCentered="1"/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H100"/>
  <sheetViews>
    <sheetView showGridLines="0" zoomScaleNormal="100" workbookViewId="0">
      <selection activeCell="C27" sqref="C27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6" width="12" customWidth="1"/>
  </cols>
  <sheetData>
    <row r="2" spans="2:6" ht="19.5" customHeight="1" x14ac:dyDescent="0.4">
      <c r="B2" s="62" t="s">
        <v>103</v>
      </c>
    </row>
    <row r="3" spans="2:6" ht="15" customHeight="1" x14ac:dyDescent="0.35">
      <c r="B3" s="1" t="s">
        <v>104</v>
      </c>
    </row>
    <row r="5" spans="2:6" ht="15" customHeight="1" x14ac:dyDescent="0.4">
      <c r="B5" s="77" t="s">
        <v>160</v>
      </c>
      <c r="C5" s="31"/>
      <c r="D5" s="31"/>
      <c r="E5" s="31"/>
      <c r="F5" s="31"/>
    </row>
    <row r="6" spans="2:6" ht="15" customHeight="1" x14ac:dyDescent="0.35">
      <c r="B6" s="84" t="s">
        <v>59</v>
      </c>
      <c r="C6" s="84" t="s">
        <v>60</v>
      </c>
      <c r="D6" s="84" t="s">
        <v>61</v>
      </c>
      <c r="E6" s="84" t="s">
        <v>62</v>
      </c>
      <c r="F6" s="84" t="s">
        <v>63</v>
      </c>
    </row>
    <row r="7" spans="2:6" ht="15" customHeight="1" x14ac:dyDescent="0.35">
      <c r="B7" s="70" t="s">
        <v>105</v>
      </c>
      <c r="C7" s="28">
        <f t="shared" ref="C7:F18" si="0">IFERROR(IF(C74="","",C74),"")</f>
        <v>61.755000000000003</v>
      </c>
      <c r="D7" s="28">
        <f>IFERROR(IF(D74="","",D74),"")</f>
        <v>43.283700000000003</v>
      </c>
      <c r="E7" s="28">
        <f t="shared" si="0"/>
        <v>49.45</v>
      </c>
      <c r="F7" s="28">
        <f t="shared" si="0"/>
        <v>47.149656125925851</v>
      </c>
    </row>
    <row r="8" spans="2:6" ht="15" customHeight="1" x14ac:dyDescent="0.35">
      <c r="B8" s="70" t="s">
        <v>97</v>
      </c>
      <c r="C8" s="28">
        <f t="shared" si="0"/>
        <v>60.24</v>
      </c>
      <c r="D8" s="28">
        <f t="shared" si="0"/>
        <v>45.350299999999997</v>
      </c>
      <c r="E8" s="28">
        <f t="shared" si="0"/>
        <v>44</v>
      </c>
      <c r="F8" s="28">
        <f t="shared" si="0"/>
        <v>46.488366486732978</v>
      </c>
    </row>
    <row r="9" spans="2:6" ht="15" customHeight="1" x14ac:dyDescent="0.35">
      <c r="B9" s="70" t="s">
        <v>98</v>
      </c>
      <c r="C9" s="28">
        <f t="shared" si="0"/>
        <v>57.604999999999997</v>
      </c>
      <c r="D9" s="28">
        <f t="shared" si="0"/>
        <v>40.783999999999999</v>
      </c>
      <c r="E9" s="28">
        <f t="shared" si="0"/>
        <v>46.45</v>
      </c>
      <c r="F9" s="28">
        <f t="shared" si="0"/>
        <v>46.090078149416264</v>
      </c>
    </row>
    <row r="10" spans="2:6" ht="15" customHeight="1" x14ac:dyDescent="0.35">
      <c r="B10" s="70" t="s">
        <v>65</v>
      </c>
      <c r="C10" s="28">
        <f t="shared" si="0"/>
        <v>55.505000000000003</v>
      </c>
      <c r="D10" s="28">
        <f t="shared" si="0"/>
        <v>43.116700000000002</v>
      </c>
      <c r="E10" s="28">
        <f t="shared" si="0"/>
        <v>45.7</v>
      </c>
      <c r="F10" s="28">
        <f t="shared" si="0"/>
        <v>45.454235606749975</v>
      </c>
    </row>
    <row r="11" spans="2:6" ht="15" customHeight="1" x14ac:dyDescent="0.35">
      <c r="B11" s="70" t="s">
        <v>66</v>
      </c>
      <c r="C11" s="28">
        <f t="shared" si="0"/>
        <v>55.865000000000002</v>
      </c>
      <c r="D11" s="28">
        <f t="shared" si="0"/>
        <v>41.7363</v>
      </c>
      <c r="E11" s="28">
        <f t="shared" si="0"/>
        <v>48.1</v>
      </c>
      <c r="F11" s="28">
        <f t="shared" si="0"/>
        <v>46.497801253238435</v>
      </c>
    </row>
    <row r="12" spans="2:6" ht="15" customHeight="1" x14ac:dyDescent="0.35">
      <c r="B12" s="70" t="s">
        <v>67</v>
      </c>
      <c r="C12" s="28">
        <f t="shared" si="0"/>
        <v>56.445</v>
      </c>
      <c r="D12" s="28">
        <f t="shared" si="0"/>
        <v>42.726999999999997</v>
      </c>
      <c r="E12" s="28">
        <f t="shared" si="0"/>
        <v>51.1</v>
      </c>
      <c r="F12" s="28">
        <f t="shared" si="0"/>
        <v>45.714253218372768</v>
      </c>
    </row>
    <row r="13" spans="2:6" ht="15" customHeight="1" x14ac:dyDescent="0.35">
      <c r="B13" s="70" t="s">
        <v>68</v>
      </c>
      <c r="C13" s="28">
        <f t="shared" si="0"/>
        <v>54.47</v>
      </c>
      <c r="D13" s="28">
        <f t="shared" si="0"/>
        <v>41.603700000000003</v>
      </c>
      <c r="E13" s="28">
        <f t="shared" si="0"/>
        <v>52.65</v>
      </c>
      <c r="F13" s="28">
        <f t="shared" si="0"/>
        <v>45.766388407840239</v>
      </c>
    </row>
    <row r="14" spans="2:6" ht="15" customHeight="1" x14ac:dyDescent="0.35">
      <c r="B14" s="70" t="s">
        <v>69</v>
      </c>
      <c r="C14" s="28">
        <f t="shared" si="0"/>
        <v>55.94</v>
      </c>
      <c r="D14" s="28">
        <f t="shared" si="0"/>
        <v>44.325800000000001</v>
      </c>
      <c r="E14" s="28">
        <f t="shared" si="0"/>
        <v>48.8</v>
      </c>
      <c r="F14" s="28">
        <f t="shared" si="0"/>
        <v>46.455201742501551</v>
      </c>
    </row>
    <row r="15" spans="2:6" ht="15" customHeight="1" x14ac:dyDescent="0.35">
      <c r="B15" s="70" t="s">
        <v>70</v>
      </c>
      <c r="C15" s="28">
        <f t="shared" si="0"/>
        <v>55.1</v>
      </c>
      <c r="D15" s="28">
        <f t="shared" si="0"/>
        <v>44</v>
      </c>
      <c r="E15" s="28">
        <f t="shared" si="0"/>
        <v>50.8</v>
      </c>
      <c r="F15" s="28">
        <f t="shared" si="0"/>
        <v>46.068591028255923</v>
      </c>
    </row>
    <row r="16" spans="2:6" ht="15" customHeight="1" x14ac:dyDescent="0.35">
      <c r="B16" s="70" t="s">
        <v>71</v>
      </c>
      <c r="C16" s="28">
        <f t="shared" si="0"/>
        <v>56.814999999999998</v>
      </c>
      <c r="D16" s="28">
        <f t="shared" si="0"/>
        <v>42.976399999999998</v>
      </c>
      <c r="E16" s="28">
        <f t="shared" si="0"/>
        <v>56.8</v>
      </c>
      <c r="F16" s="28">
        <f t="shared" si="0"/>
        <v>45.689482002517508</v>
      </c>
    </row>
    <row r="17" spans="2:8" ht="15" customHeight="1" x14ac:dyDescent="0.35">
      <c r="B17" s="70" t="s">
        <v>72</v>
      </c>
      <c r="C17" s="28">
        <f t="shared" si="0"/>
        <v>59.325000000000003</v>
      </c>
      <c r="D17" s="28">
        <f t="shared" si="0"/>
        <v>43.694200000000002</v>
      </c>
      <c r="E17" s="28">
        <f t="shared" si="0"/>
        <v>58.5</v>
      </c>
      <c r="F17" s="28">
        <f t="shared" si="0"/>
        <v>43.957277352161029</v>
      </c>
    </row>
    <row r="18" spans="2:8" ht="15" customHeight="1" x14ac:dyDescent="0.35">
      <c r="B18" s="70" t="s">
        <v>73</v>
      </c>
      <c r="C18" s="28">
        <f t="shared" si="0"/>
        <v>62.23</v>
      </c>
      <c r="D18" s="28">
        <f t="shared" si="0"/>
        <v>49.2</v>
      </c>
      <c r="E18" s="28">
        <f t="shared" si="0"/>
        <v>59.95</v>
      </c>
      <c r="F18" s="28">
        <f t="shared" si="0"/>
        <v>44.77373036958096</v>
      </c>
    </row>
    <row r="19" spans="2:8" ht="15" customHeight="1" x14ac:dyDescent="0.35">
      <c r="B19" s="70" t="s">
        <v>74</v>
      </c>
      <c r="C19" s="28">
        <f t="shared" ref="C19:F19" si="1">IFERROR(IF(C86="","",C86),"")</f>
        <v>63.695</v>
      </c>
      <c r="D19" s="28">
        <f t="shared" si="1"/>
        <v>49.386400000000002</v>
      </c>
      <c r="E19" s="28">
        <f t="shared" si="1"/>
        <v>59.1</v>
      </c>
      <c r="F19" s="28">
        <f t="shared" si="1"/>
        <v>44.337782220354065</v>
      </c>
    </row>
    <row r="20" spans="2:8" ht="15" customHeight="1" x14ac:dyDescent="0.35">
      <c r="B20" s="74" t="s">
        <v>75</v>
      </c>
      <c r="C20" s="28">
        <f t="shared" ref="C20:F20" si="2">IFERROR(IF(C87="","",C87),"")</f>
        <v>63.695</v>
      </c>
      <c r="D20" s="28">
        <f t="shared" si="2"/>
        <v>50.267499999999998</v>
      </c>
      <c r="E20" s="28">
        <f t="shared" si="2"/>
        <v>59.15</v>
      </c>
      <c r="F20" s="28">
        <f t="shared" si="2"/>
        <v>44.522262147167922</v>
      </c>
    </row>
    <row r="21" spans="2:8" ht="15" customHeight="1" thickBot="1" x14ac:dyDescent="0.4">
      <c r="B21" s="74" t="s">
        <v>76</v>
      </c>
      <c r="C21" s="28">
        <f>IFERROR(IF(C88="","",C88),"")</f>
        <v>62.935000000000002</v>
      </c>
      <c r="D21" s="28">
        <f>IFERROR(IF(D88="","",D88),"")</f>
        <v>48.823300000000003</v>
      </c>
      <c r="E21" s="28">
        <f t="shared" ref="C21:F21" si="3">IFERROR(IF(E88="","",E88),"")</f>
        <v>59.65</v>
      </c>
      <c r="F21" s="28">
        <f t="shared" si="3"/>
        <v>44.09991247589862</v>
      </c>
    </row>
    <row r="22" spans="2:8" ht="15" customHeight="1" thickBot="1" x14ac:dyDescent="0.4">
      <c r="B22" s="71" t="s">
        <v>77</v>
      </c>
      <c r="C22" s="75">
        <f>IFERROR(AVERAGE(C7:C21),"")</f>
        <v>58.774666666666675</v>
      </c>
      <c r="D22" s="75">
        <f t="shared" ref="D22:F22" si="4">IFERROR(AVERAGE(D7:D21),"")</f>
        <v>44.751686666666679</v>
      </c>
      <c r="E22" s="75">
        <f t="shared" si="4"/>
        <v>52.68</v>
      </c>
      <c r="F22" s="76">
        <f t="shared" si="4"/>
        <v>45.537667905780935</v>
      </c>
    </row>
    <row r="25" spans="2:8" ht="15" customHeight="1" x14ac:dyDescent="0.35">
      <c r="B25" s="63" t="s">
        <v>78</v>
      </c>
    </row>
    <row r="26" spans="2:8" ht="15" customHeight="1" x14ac:dyDescent="0.35">
      <c r="B26" s="61" t="s">
        <v>79</v>
      </c>
      <c r="C26" s="61" t="s">
        <v>60</v>
      </c>
      <c r="D26" s="61" t="s">
        <v>61</v>
      </c>
      <c r="E26" s="61" t="s">
        <v>62</v>
      </c>
      <c r="F26" s="61" t="s">
        <v>63</v>
      </c>
    </row>
    <row r="27" spans="2:8" ht="15" customHeight="1" x14ac:dyDescent="0.35">
      <c r="B27" s="4">
        <v>44228</v>
      </c>
      <c r="C27" s="10">
        <v>58.115000000000002</v>
      </c>
      <c r="D27" s="10">
        <v>38.470100000000002</v>
      </c>
      <c r="E27" s="10">
        <v>42.7</v>
      </c>
      <c r="F27" s="10">
        <v>38.974256791400002</v>
      </c>
      <c r="H27" s="30"/>
    </row>
    <row r="28" spans="2:8" ht="15" customHeight="1" x14ac:dyDescent="0.35">
      <c r="B28" s="4">
        <v>44256</v>
      </c>
      <c r="C28" s="10">
        <v>56.45</v>
      </c>
      <c r="D28" s="10">
        <v>42.399900000000002</v>
      </c>
      <c r="E28" s="10">
        <v>44.3</v>
      </c>
      <c r="F28" s="10">
        <v>40.734070382100001</v>
      </c>
      <c r="H28" s="30"/>
    </row>
    <row r="29" spans="2:8" ht="15" customHeight="1" x14ac:dyDescent="0.35">
      <c r="B29" s="4">
        <v>44287</v>
      </c>
      <c r="C29" s="10">
        <v>52.475000000000001</v>
      </c>
      <c r="D29" s="10">
        <v>32.590000000000003</v>
      </c>
      <c r="E29" s="10">
        <v>32.9</v>
      </c>
      <c r="F29" s="10">
        <v>42.238554823800001</v>
      </c>
      <c r="H29" s="30"/>
    </row>
    <row r="30" spans="2:8" ht="15" customHeight="1" x14ac:dyDescent="0.35">
      <c r="B30" s="4">
        <v>44317</v>
      </c>
      <c r="C30" s="10">
        <v>52.95</v>
      </c>
      <c r="D30" s="10">
        <v>39.702199999999998</v>
      </c>
      <c r="E30" s="10">
        <v>32.85</v>
      </c>
      <c r="F30" s="10">
        <v>42.637518868100003</v>
      </c>
      <c r="H30" s="30"/>
    </row>
    <row r="31" spans="2:8" ht="15" customHeight="1" x14ac:dyDescent="0.35">
      <c r="B31" s="4">
        <v>44348</v>
      </c>
      <c r="C31" s="10">
        <v>53.66</v>
      </c>
      <c r="D31" s="10">
        <v>40.161999999999999</v>
      </c>
      <c r="E31" s="10">
        <v>38.85</v>
      </c>
      <c r="F31" s="10">
        <v>43.910725626800001</v>
      </c>
      <c r="H31" s="30"/>
    </row>
    <row r="32" spans="2:8" ht="15" customHeight="1" x14ac:dyDescent="0.35">
      <c r="B32" s="4">
        <v>44378</v>
      </c>
      <c r="C32" s="10">
        <v>55.49</v>
      </c>
      <c r="D32" s="10">
        <v>41.308399999999999</v>
      </c>
      <c r="E32" s="10">
        <v>46.25</v>
      </c>
      <c r="F32" s="10">
        <v>44.240729468300003</v>
      </c>
      <c r="H32" s="30"/>
    </row>
    <row r="33" spans="2:8" ht="15" customHeight="1" x14ac:dyDescent="0.35">
      <c r="B33" s="4">
        <v>44409</v>
      </c>
      <c r="C33" s="10">
        <v>55.994999999999997</v>
      </c>
      <c r="D33" s="10">
        <v>49.105699999999999</v>
      </c>
      <c r="E33" s="10">
        <v>45.9</v>
      </c>
      <c r="F33" s="10">
        <v>42.961410868500003</v>
      </c>
      <c r="H33" s="30"/>
    </row>
    <row r="34" spans="2:8" ht="15" customHeight="1" x14ac:dyDescent="0.35">
      <c r="B34" s="4">
        <v>44440</v>
      </c>
      <c r="C34" s="10">
        <v>57.33</v>
      </c>
      <c r="D34" s="10">
        <v>47.091799999999999</v>
      </c>
      <c r="E34" s="10">
        <v>48.5</v>
      </c>
      <c r="F34" s="10">
        <v>43.6871000529</v>
      </c>
      <c r="H34" s="30"/>
    </row>
    <row r="35" spans="2:8" ht="15" customHeight="1" x14ac:dyDescent="0.35">
      <c r="B35" s="4">
        <v>44470</v>
      </c>
      <c r="C35" s="10">
        <v>54.685000000000002</v>
      </c>
      <c r="D35" s="10">
        <v>45.218899999999998</v>
      </c>
      <c r="E35" s="10">
        <v>49.35</v>
      </c>
      <c r="F35" s="10">
        <v>43.8531835876</v>
      </c>
      <c r="H35" s="30"/>
    </row>
    <row r="36" spans="2:8" ht="15" customHeight="1" x14ac:dyDescent="0.35">
      <c r="B36" s="4">
        <v>44501</v>
      </c>
      <c r="C36" s="10">
        <v>54.674999999999997</v>
      </c>
      <c r="D36" s="10">
        <v>40.288400000000003</v>
      </c>
      <c r="E36" s="10">
        <v>49.3</v>
      </c>
      <c r="F36" s="10">
        <v>46.199807096299999</v>
      </c>
      <c r="H36" s="30"/>
    </row>
    <row r="37" spans="2:8" ht="15" customHeight="1" x14ac:dyDescent="0.35">
      <c r="B37" s="4">
        <v>44531</v>
      </c>
      <c r="C37" s="10">
        <v>56</v>
      </c>
      <c r="D37" s="10">
        <v>45.354500000000002</v>
      </c>
      <c r="E37" s="10">
        <v>46.5</v>
      </c>
      <c r="F37" s="10">
        <v>44.396749491199998</v>
      </c>
      <c r="H37" s="30"/>
    </row>
    <row r="38" spans="2:8" ht="15" customHeight="1" x14ac:dyDescent="0.35">
      <c r="B38" s="4">
        <v>44562</v>
      </c>
      <c r="C38" s="10">
        <v>54.174999999999997</v>
      </c>
      <c r="D38" s="10">
        <v>46.630499999999998</v>
      </c>
      <c r="E38" s="10">
        <v>43.25</v>
      </c>
      <c r="F38" s="10">
        <v>43.094636534800003</v>
      </c>
      <c r="H38" s="30"/>
    </row>
    <row r="39" spans="2:8" ht="15" customHeight="1" x14ac:dyDescent="0.35">
      <c r="B39" s="4">
        <v>44593</v>
      </c>
      <c r="C39" s="10">
        <v>52.024999999999999</v>
      </c>
      <c r="D39" s="10">
        <v>43.707799999999999</v>
      </c>
      <c r="E39" s="10">
        <v>41.25</v>
      </c>
      <c r="F39" s="10">
        <v>43.2078244928</v>
      </c>
      <c r="H39" s="30"/>
    </row>
    <row r="40" spans="2:8" ht="15" customHeight="1" x14ac:dyDescent="0.35">
      <c r="B40" s="4">
        <v>44621</v>
      </c>
      <c r="C40" s="10">
        <v>52.56</v>
      </c>
      <c r="D40" s="10">
        <v>39.980600000000003</v>
      </c>
      <c r="E40" s="10">
        <v>41.1</v>
      </c>
      <c r="F40" s="10">
        <v>43.647073091700001</v>
      </c>
      <c r="H40" s="30"/>
    </row>
    <row r="41" spans="2:8" ht="15" customHeight="1" x14ac:dyDescent="0.35">
      <c r="B41" s="4">
        <v>44652</v>
      </c>
      <c r="C41" s="10">
        <v>52.174999999999997</v>
      </c>
      <c r="D41" s="10">
        <v>41.315600000000003</v>
      </c>
      <c r="E41" s="10">
        <v>41.25</v>
      </c>
      <c r="F41" s="10">
        <v>44.029084395300004</v>
      </c>
      <c r="H41" s="30"/>
    </row>
    <row r="42" spans="2:8" ht="15" customHeight="1" x14ac:dyDescent="0.35">
      <c r="B42" s="4">
        <v>44682</v>
      </c>
      <c r="C42" s="10">
        <v>52.935000000000002</v>
      </c>
      <c r="D42" s="10">
        <v>39.501300000000001</v>
      </c>
      <c r="E42" s="10">
        <v>42.65</v>
      </c>
      <c r="F42" s="10">
        <v>44.022414371000004</v>
      </c>
      <c r="H42" s="30"/>
    </row>
    <row r="43" spans="2:8" ht="15" customHeight="1" x14ac:dyDescent="0.35">
      <c r="B43" s="4">
        <v>44713</v>
      </c>
      <c r="C43" s="10">
        <v>51.8</v>
      </c>
      <c r="D43" s="10">
        <v>39.336399999999998</v>
      </c>
      <c r="E43" s="10">
        <v>51.45</v>
      </c>
      <c r="F43" s="10">
        <v>42.758910086900002</v>
      </c>
      <c r="H43" s="30"/>
    </row>
    <row r="44" spans="2:8" ht="15" customHeight="1" x14ac:dyDescent="0.35">
      <c r="B44" s="4">
        <v>44743</v>
      </c>
      <c r="C44" s="10">
        <v>52.79</v>
      </c>
      <c r="D44" s="10">
        <v>35.517899999999997</v>
      </c>
      <c r="E44" s="10">
        <v>44.8</v>
      </c>
      <c r="F44" s="10">
        <v>41.262309792300002</v>
      </c>
      <c r="H44" s="30"/>
    </row>
    <row r="45" spans="2:8" ht="15" customHeight="1" x14ac:dyDescent="0.35">
      <c r="B45" s="4">
        <v>44774</v>
      </c>
      <c r="C45" s="10">
        <v>53.38</v>
      </c>
      <c r="D45" s="10">
        <v>38.860199999999999</v>
      </c>
      <c r="E45" s="10">
        <v>48.8</v>
      </c>
      <c r="F45" s="10">
        <v>40.7810241241</v>
      </c>
      <c r="H45" s="30"/>
    </row>
    <row r="46" spans="2:8" ht="15" customHeight="1" x14ac:dyDescent="0.35">
      <c r="B46" s="4">
        <v>44805</v>
      </c>
      <c r="C46" s="10">
        <v>55.73</v>
      </c>
      <c r="D46" s="10">
        <v>36.990099999999998</v>
      </c>
      <c r="E46" s="10">
        <v>44.25</v>
      </c>
      <c r="F46" s="10">
        <v>41.131590845200002</v>
      </c>
      <c r="H46" s="30"/>
    </row>
    <row r="47" spans="2:8" ht="15" customHeight="1" x14ac:dyDescent="0.35">
      <c r="B47" s="4">
        <v>44835</v>
      </c>
      <c r="C47" s="10">
        <v>57.115000000000002</v>
      </c>
      <c r="D47" s="10">
        <v>38.1999</v>
      </c>
      <c r="E47" s="10">
        <v>40.25</v>
      </c>
      <c r="F47" s="10">
        <v>41.357728617699998</v>
      </c>
      <c r="H47" s="30"/>
    </row>
    <row r="48" spans="2:8" ht="15" customHeight="1" x14ac:dyDescent="0.35">
      <c r="B48" s="4">
        <v>44866</v>
      </c>
      <c r="C48" s="10">
        <v>58.395000000000003</v>
      </c>
      <c r="D48" s="10">
        <v>36.6492</v>
      </c>
      <c r="E48" s="10">
        <v>37.6</v>
      </c>
      <c r="F48" s="10">
        <v>41.9593398763</v>
      </c>
      <c r="H48" s="30"/>
    </row>
    <row r="49" spans="2:8" ht="15" customHeight="1" x14ac:dyDescent="0.35">
      <c r="B49" s="4">
        <v>44896</v>
      </c>
      <c r="C49" s="10">
        <v>61.42</v>
      </c>
      <c r="D49" s="10">
        <v>39.161000000000001</v>
      </c>
      <c r="E49" s="10">
        <v>38.85</v>
      </c>
      <c r="F49" s="10">
        <v>42.842864296400002</v>
      </c>
      <c r="H49" s="30"/>
    </row>
    <row r="50" spans="2:8" ht="15" customHeight="1" x14ac:dyDescent="0.35">
      <c r="B50" s="4">
        <v>44927</v>
      </c>
      <c r="C50" s="10">
        <v>62.69</v>
      </c>
      <c r="D50" s="10">
        <v>38.892200000000003</v>
      </c>
      <c r="E50" s="10">
        <v>35.700000000000003</v>
      </c>
      <c r="F50" s="10">
        <v>44.774005908793619</v>
      </c>
      <c r="H50" s="30"/>
    </row>
    <row r="51" spans="2:8" ht="15" customHeight="1" x14ac:dyDescent="0.35">
      <c r="B51" s="4">
        <v>44958</v>
      </c>
      <c r="C51" s="10">
        <v>64.39</v>
      </c>
      <c r="D51" s="10">
        <v>36.867699999999999</v>
      </c>
      <c r="E51" s="10">
        <v>36.1</v>
      </c>
      <c r="F51" s="10">
        <v>44.648579360698086</v>
      </c>
      <c r="H51" s="30"/>
    </row>
    <row r="52" spans="2:8" ht="15" customHeight="1" x14ac:dyDescent="0.35">
      <c r="B52" s="4">
        <v>44986</v>
      </c>
      <c r="C52" s="10">
        <v>63.71</v>
      </c>
      <c r="D52" s="10">
        <v>41.5</v>
      </c>
      <c r="E52" s="10">
        <v>35.75</v>
      </c>
      <c r="F52" s="10">
        <v>44.497504601820523</v>
      </c>
      <c r="H52" s="30"/>
    </row>
    <row r="53" spans="2:8" ht="15" customHeight="1" x14ac:dyDescent="0.35">
      <c r="B53" s="4">
        <v>45017</v>
      </c>
      <c r="C53" s="10">
        <v>62.55</v>
      </c>
      <c r="D53" s="10">
        <v>39.292869253526398</v>
      </c>
      <c r="E53" s="10">
        <v>35.6</v>
      </c>
      <c r="F53" s="10">
        <v>44.604057252019366</v>
      </c>
      <c r="H53" s="30"/>
    </row>
    <row r="54" spans="2:8" ht="15" customHeight="1" x14ac:dyDescent="0.35">
      <c r="B54" s="4">
        <v>45047</v>
      </c>
      <c r="C54" s="10">
        <v>61.11</v>
      </c>
      <c r="D54" s="10">
        <v>38.868400000000001</v>
      </c>
      <c r="E54" s="10">
        <v>38.6</v>
      </c>
      <c r="F54" s="10">
        <v>44.67242033426259</v>
      </c>
      <c r="H54" s="30"/>
    </row>
    <row r="55" spans="2:8" ht="15" customHeight="1" x14ac:dyDescent="0.35">
      <c r="B55" s="4">
        <v>45078</v>
      </c>
      <c r="C55" s="10">
        <v>62.634999999999998</v>
      </c>
      <c r="D55" s="10">
        <v>39.9</v>
      </c>
      <c r="E55" s="10">
        <v>42.95</v>
      </c>
      <c r="F55" s="10">
        <v>45.900081964232591</v>
      </c>
      <c r="H55" s="30"/>
    </row>
    <row r="56" spans="2:8" ht="15" customHeight="1" x14ac:dyDescent="0.35">
      <c r="B56" s="4">
        <v>45108</v>
      </c>
      <c r="C56" s="10">
        <v>62.23</v>
      </c>
      <c r="D56" s="10">
        <v>41.009799999999998</v>
      </c>
      <c r="E56" s="10">
        <v>41.3</v>
      </c>
      <c r="F56" s="10">
        <v>46.382665573226191</v>
      </c>
      <c r="H56" s="30"/>
    </row>
    <row r="57" spans="2:8" ht="15" customHeight="1" x14ac:dyDescent="0.35">
      <c r="B57" s="4">
        <v>45139</v>
      </c>
      <c r="C57" s="10">
        <v>65.510000000000005</v>
      </c>
      <c r="D57" s="10">
        <v>39.521299999999997</v>
      </c>
      <c r="E57" s="10">
        <v>40.6</v>
      </c>
      <c r="F57" s="10">
        <v>46.082397318317241</v>
      </c>
      <c r="H57" s="30"/>
    </row>
    <row r="58" spans="2:8" ht="15" customHeight="1" x14ac:dyDescent="0.35">
      <c r="B58" s="4">
        <v>45170</v>
      </c>
      <c r="C58" s="10">
        <v>66.319999999999993</v>
      </c>
      <c r="D58" s="10">
        <v>41.429099999999998</v>
      </c>
      <c r="E58" s="10">
        <v>41.05</v>
      </c>
      <c r="F58" s="10">
        <v>46.378813796553494</v>
      </c>
      <c r="H58" s="30"/>
    </row>
    <row r="59" spans="2:8" ht="15" customHeight="1" x14ac:dyDescent="0.35">
      <c r="B59" s="4">
        <v>45200</v>
      </c>
      <c r="C59" s="10">
        <v>66.375</v>
      </c>
      <c r="D59" s="10">
        <v>42.527799999999999</v>
      </c>
      <c r="E59" s="10">
        <v>43</v>
      </c>
      <c r="F59" s="10">
        <v>45.669149771776041</v>
      </c>
      <c r="H59" s="30"/>
    </row>
    <row r="60" spans="2:8" ht="15" customHeight="1" x14ac:dyDescent="0.35">
      <c r="B60" s="4">
        <v>45231</v>
      </c>
      <c r="C60" s="10">
        <v>64.87</v>
      </c>
      <c r="D60" s="10">
        <v>43.039700000000003</v>
      </c>
      <c r="E60" s="10">
        <v>39.549999999999997</v>
      </c>
      <c r="F60" s="10">
        <v>46.899020937591459</v>
      </c>
      <c r="H60" s="30"/>
    </row>
    <row r="61" spans="2:8" ht="15" customHeight="1" x14ac:dyDescent="0.35">
      <c r="B61" s="4">
        <v>45261</v>
      </c>
      <c r="C61" s="10">
        <v>66.73</v>
      </c>
      <c r="D61" s="10">
        <v>39.9054</v>
      </c>
      <c r="E61" s="10">
        <v>41.35</v>
      </c>
      <c r="F61" s="10">
        <v>47.18588914399389</v>
      </c>
      <c r="H61" s="30"/>
    </row>
    <row r="62" spans="2:8" ht="15" customHeight="1" x14ac:dyDescent="0.35">
      <c r="B62" s="4">
        <v>45292</v>
      </c>
      <c r="C62" s="10">
        <v>66.625</v>
      </c>
      <c r="D62" s="10">
        <v>43.808599999999998</v>
      </c>
      <c r="E62" s="10">
        <v>46.05</v>
      </c>
      <c r="F62" s="10">
        <v>47.571614440638328</v>
      </c>
      <c r="H62" s="30"/>
    </row>
    <row r="63" spans="2:8" ht="15" customHeight="1" x14ac:dyDescent="0.35">
      <c r="B63" s="4">
        <v>45323</v>
      </c>
      <c r="C63" s="10">
        <v>69.11</v>
      </c>
      <c r="D63" s="10">
        <v>43.155000000000001</v>
      </c>
      <c r="E63" s="10">
        <v>45.3</v>
      </c>
      <c r="F63" s="10">
        <v>47.125446530713567</v>
      </c>
      <c r="H63" s="30"/>
    </row>
    <row r="64" spans="2:8" ht="15" customHeight="1" x14ac:dyDescent="0.35">
      <c r="B64" s="4">
        <v>45352</v>
      </c>
      <c r="C64" s="10">
        <v>66.260000000000005</v>
      </c>
      <c r="D64" s="10">
        <v>42.218400000000003</v>
      </c>
      <c r="E64" s="10">
        <v>43.5</v>
      </c>
      <c r="F64" s="10">
        <v>47.377012181659858</v>
      </c>
      <c r="H64" s="30"/>
    </row>
    <row r="65" spans="2:8" ht="15" customHeight="1" x14ac:dyDescent="0.35">
      <c r="B65" s="4">
        <v>45383</v>
      </c>
      <c r="C65" s="10">
        <v>64.795000000000002</v>
      </c>
      <c r="D65" s="10">
        <v>42.776400000000002</v>
      </c>
      <c r="E65" s="10">
        <v>44.3</v>
      </c>
      <c r="F65" s="10">
        <v>47.734665663569878</v>
      </c>
      <c r="H65" s="30"/>
    </row>
    <row r="66" spans="2:8" ht="15" customHeight="1" x14ac:dyDescent="0.35">
      <c r="B66" s="4">
        <v>45413</v>
      </c>
      <c r="C66" s="10">
        <v>63.23</v>
      </c>
      <c r="D66" s="10">
        <v>39.6</v>
      </c>
      <c r="E66" s="10">
        <v>42.95</v>
      </c>
      <c r="F66" s="10">
        <v>46.695694705174034</v>
      </c>
      <c r="H66" s="30"/>
    </row>
    <row r="67" spans="2:8" ht="15" customHeight="1" x14ac:dyDescent="0.35">
      <c r="B67" s="4">
        <v>45444</v>
      </c>
      <c r="C67" s="10">
        <v>63.524999999999999</v>
      </c>
      <c r="D67" s="10">
        <v>42.690199999999997</v>
      </c>
      <c r="E67" s="10">
        <v>43.65</v>
      </c>
      <c r="F67" s="10">
        <v>48.053007238749601</v>
      </c>
      <c r="H67" s="30"/>
    </row>
    <row r="68" spans="2:8" ht="15" customHeight="1" x14ac:dyDescent="0.35">
      <c r="B68" s="4">
        <v>45474</v>
      </c>
      <c r="C68" s="10">
        <v>63.89</v>
      </c>
      <c r="D68" s="10">
        <v>40.7986</v>
      </c>
      <c r="E68" s="10">
        <v>45.5</v>
      </c>
      <c r="F68" s="10">
        <v>46.966746692724165</v>
      </c>
      <c r="H68" s="30"/>
    </row>
    <row r="69" spans="2:8" ht="15" customHeight="1" x14ac:dyDescent="0.35">
      <c r="B69" s="4">
        <v>45505</v>
      </c>
      <c r="C69" s="10">
        <v>63.634999999999998</v>
      </c>
      <c r="D69" s="10">
        <v>41.026400000000002</v>
      </c>
      <c r="E69" s="10">
        <v>42.35</v>
      </c>
      <c r="F69" s="10">
        <v>46.993258614232275</v>
      </c>
      <c r="H69" s="30"/>
    </row>
    <row r="70" spans="2:8" ht="15" customHeight="1" x14ac:dyDescent="0.35">
      <c r="B70" s="4">
        <v>45536</v>
      </c>
      <c r="C70" s="10">
        <v>61.615000000000002</v>
      </c>
      <c r="D70" s="10">
        <v>40.965299999999999</v>
      </c>
      <c r="E70" s="10">
        <v>42</v>
      </c>
      <c r="F70" s="10">
        <v>46.56533712615807</v>
      </c>
      <c r="H70" s="30"/>
    </row>
    <row r="71" spans="2:8" ht="15" customHeight="1" x14ac:dyDescent="0.35">
      <c r="B71" s="4">
        <v>45566</v>
      </c>
      <c r="C71" s="10">
        <v>60.484999999999999</v>
      </c>
      <c r="D71" s="10">
        <v>43.380899999999997</v>
      </c>
      <c r="E71" s="10">
        <v>48.15</v>
      </c>
      <c r="F71" s="10">
        <v>48.897877633122164</v>
      </c>
      <c r="H71" s="30"/>
    </row>
    <row r="72" spans="2:8" ht="15" customHeight="1" x14ac:dyDescent="0.35">
      <c r="B72" s="4">
        <v>45597</v>
      </c>
      <c r="C72" s="10">
        <v>61.965000000000003</v>
      </c>
      <c r="D72" s="10">
        <v>41.878726913134599</v>
      </c>
      <c r="E72" s="10">
        <v>47.15</v>
      </c>
      <c r="F72" s="10">
        <v>47.442950378911924</v>
      </c>
      <c r="H72" s="30"/>
    </row>
    <row r="73" spans="2:8" ht="15" customHeight="1" x14ac:dyDescent="0.35">
      <c r="B73" s="4">
        <v>45627</v>
      </c>
      <c r="C73" s="10">
        <v>62.81</v>
      </c>
      <c r="D73" s="10">
        <v>41.888100000000001</v>
      </c>
      <c r="E73" s="10">
        <v>48.3</v>
      </c>
      <c r="F73" s="10">
        <v>47.270034347409236</v>
      </c>
      <c r="H73" s="30"/>
    </row>
    <row r="74" spans="2:8" ht="15" customHeight="1" x14ac:dyDescent="0.35">
      <c r="B74" s="4">
        <v>45658</v>
      </c>
      <c r="C74" s="10">
        <v>61.755000000000003</v>
      </c>
      <c r="D74" s="10">
        <v>43.283700000000003</v>
      </c>
      <c r="E74" s="10">
        <v>49.45</v>
      </c>
      <c r="F74" s="10">
        <v>47.149656125925851</v>
      </c>
      <c r="H74" s="30"/>
    </row>
    <row r="75" spans="2:8" ht="15" customHeight="1" x14ac:dyDescent="0.35">
      <c r="B75" s="4">
        <v>45689</v>
      </c>
      <c r="C75" s="10">
        <v>60.24</v>
      </c>
      <c r="D75" s="10">
        <v>45.350299999999997</v>
      </c>
      <c r="E75" s="10">
        <v>44</v>
      </c>
      <c r="F75" s="10">
        <v>46.488366486732978</v>
      </c>
      <c r="H75" s="30"/>
    </row>
    <row r="76" spans="2:8" ht="15" customHeight="1" x14ac:dyDescent="0.35">
      <c r="B76" s="4">
        <v>45717</v>
      </c>
      <c r="C76" s="10">
        <v>57.604999999999997</v>
      </c>
      <c r="D76" s="10">
        <v>40.783999999999999</v>
      </c>
      <c r="E76" s="10">
        <v>46.45</v>
      </c>
      <c r="F76" s="10">
        <v>46.090078149416264</v>
      </c>
      <c r="H76" s="30"/>
    </row>
    <row r="77" spans="2:8" ht="15" customHeight="1" x14ac:dyDescent="0.35">
      <c r="B77" s="4">
        <v>45748</v>
      </c>
      <c r="C77" s="10">
        <v>55.505000000000003</v>
      </c>
      <c r="D77" s="10">
        <v>43.116700000000002</v>
      </c>
      <c r="E77" s="10">
        <v>45.7</v>
      </c>
      <c r="F77" s="10">
        <v>45.454235606749975</v>
      </c>
      <c r="H77" s="30"/>
    </row>
    <row r="78" spans="2:8" ht="15" customHeight="1" x14ac:dyDescent="0.35">
      <c r="B78" s="4">
        <v>45778</v>
      </c>
      <c r="C78" s="10">
        <v>55.865000000000002</v>
      </c>
      <c r="D78" s="10">
        <v>41.7363</v>
      </c>
      <c r="E78" s="10">
        <v>48.1</v>
      </c>
      <c r="F78" s="10">
        <v>46.497801253238435</v>
      </c>
      <c r="H78" s="30"/>
    </row>
    <row r="79" spans="2:8" ht="15" customHeight="1" x14ac:dyDescent="0.35">
      <c r="B79" s="4">
        <v>45809</v>
      </c>
      <c r="C79" s="10">
        <v>56.445</v>
      </c>
      <c r="D79" s="10">
        <v>42.726999999999997</v>
      </c>
      <c r="E79" s="10">
        <v>51.1</v>
      </c>
      <c r="F79" s="10">
        <v>45.714253218372768</v>
      </c>
      <c r="H79" s="30"/>
    </row>
    <row r="80" spans="2:8" ht="15" customHeight="1" x14ac:dyDescent="0.35">
      <c r="B80" s="4">
        <v>45839</v>
      </c>
      <c r="C80" s="10">
        <v>54.47</v>
      </c>
      <c r="D80" s="10">
        <v>41.603700000000003</v>
      </c>
      <c r="E80" s="10">
        <v>52.65</v>
      </c>
      <c r="F80" s="10">
        <v>45.766388407840239</v>
      </c>
      <c r="H80" s="30"/>
    </row>
    <row r="81" spans="2:8" ht="15" customHeight="1" x14ac:dyDescent="0.35">
      <c r="B81" s="4">
        <v>45870</v>
      </c>
      <c r="C81" s="10">
        <v>55.94</v>
      </c>
      <c r="D81" s="10">
        <v>44.325800000000001</v>
      </c>
      <c r="E81" s="10">
        <v>48.8</v>
      </c>
      <c r="F81" s="10">
        <v>46.455201742501551</v>
      </c>
      <c r="H81" s="30"/>
    </row>
    <row r="82" spans="2:8" ht="15" customHeight="1" x14ac:dyDescent="0.35">
      <c r="B82" s="4">
        <v>45901</v>
      </c>
      <c r="C82" s="10">
        <v>55.1</v>
      </c>
      <c r="D82" s="10">
        <v>44</v>
      </c>
      <c r="E82" s="10">
        <v>50.8</v>
      </c>
      <c r="F82" s="10">
        <v>46.068591028255923</v>
      </c>
      <c r="H82" s="30"/>
    </row>
    <row r="83" spans="2:8" ht="15" customHeight="1" x14ac:dyDescent="0.35">
      <c r="B83" s="4">
        <v>45931</v>
      </c>
      <c r="C83" s="10">
        <v>56.814999999999998</v>
      </c>
      <c r="D83" s="10">
        <v>42.976399999999998</v>
      </c>
      <c r="E83" s="10">
        <v>56.8</v>
      </c>
      <c r="F83" s="10">
        <v>45.689482002517508</v>
      </c>
      <c r="H83" s="30"/>
    </row>
    <row r="84" spans="2:8" ht="15" customHeight="1" x14ac:dyDescent="0.35">
      <c r="B84" s="4">
        <v>45962</v>
      </c>
      <c r="C84" s="10">
        <v>59.325000000000003</v>
      </c>
      <c r="D84" s="10">
        <v>43.694200000000002</v>
      </c>
      <c r="E84" s="10">
        <v>58.5</v>
      </c>
      <c r="F84" s="10">
        <v>43.957277352161029</v>
      </c>
      <c r="H84" s="30"/>
    </row>
    <row r="85" spans="2:8" ht="15" customHeight="1" x14ac:dyDescent="0.35">
      <c r="B85" s="4">
        <v>45992</v>
      </c>
      <c r="C85" s="10">
        <v>62.23</v>
      </c>
      <c r="D85" s="10">
        <v>49.2</v>
      </c>
      <c r="E85" s="10">
        <v>59.95</v>
      </c>
      <c r="F85" s="10">
        <v>44.77373036958096</v>
      </c>
      <c r="H85" s="30"/>
    </row>
    <row r="86" spans="2:8" ht="15" customHeight="1" x14ac:dyDescent="0.35">
      <c r="B86" s="4">
        <v>46023</v>
      </c>
      <c r="C86" s="10">
        <v>63.695</v>
      </c>
      <c r="D86" s="10">
        <v>49.386400000000002</v>
      </c>
      <c r="E86" s="10">
        <v>59.1</v>
      </c>
      <c r="F86" s="10">
        <v>44.337782220354065</v>
      </c>
      <c r="H86" s="30"/>
    </row>
    <row r="87" spans="2:8" ht="15" customHeight="1" x14ac:dyDescent="0.35">
      <c r="B87" s="4">
        <v>46054</v>
      </c>
      <c r="C87" s="10">
        <v>63.695</v>
      </c>
      <c r="D87" s="10">
        <v>50.267499999999998</v>
      </c>
      <c r="E87" s="10">
        <v>59.15</v>
      </c>
      <c r="F87" s="10">
        <v>44.522262147167922</v>
      </c>
      <c r="H87" s="30"/>
    </row>
    <row r="88" spans="2:8" ht="15" customHeight="1" x14ac:dyDescent="0.35">
      <c r="B88" s="4">
        <v>46082</v>
      </c>
      <c r="C88" s="10">
        <v>62.935000000000002</v>
      </c>
      <c r="D88" s="10">
        <v>48.823300000000003</v>
      </c>
      <c r="E88" s="10">
        <v>59.65</v>
      </c>
      <c r="F88" s="10">
        <v>44.09991247589862</v>
      </c>
      <c r="H88" s="30"/>
    </row>
    <row r="89" spans="2:8" ht="15" customHeight="1" x14ac:dyDescent="0.35">
      <c r="B89" s="4">
        <v>46113</v>
      </c>
      <c r="C89" s="12"/>
      <c r="D89" s="12"/>
      <c r="E89" s="12"/>
      <c r="F89" s="12"/>
      <c r="H89" s="30"/>
    </row>
    <row r="90" spans="2:8" ht="15" customHeight="1" x14ac:dyDescent="0.35">
      <c r="B90" s="4">
        <v>46143</v>
      </c>
      <c r="C90" s="12"/>
      <c r="D90" s="12"/>
      <c r="E90" s="12"/>
      <c r="F90" s="12"/>
      <c r="H90" s="30"/>
    </row>
    <row r="91" spans="2:8" x14ac:dyDescent="0.35">
      <c r="H91" s="30"/>
    </row>
    <row r="92" spans="2:8" ht="15" customHeight="1" x14ac:dyDescent="0.35">
      <c r="B92" s="2" t="s">
        <v>80</v>
      </c>
      <c r="C92" s="37" t="s">
        <v>106</v>
      </c>
      <c r="D92" s="37"/>
      <c r="E92" s="37"/>
      <c r="F92" s="37"/>
      <c r="H92" s="30"/>
    </row>
    <row r="93" spans="2:8" ht="15" customHeight="1" x14ac:dyDescent="0.35">
      <c r="B93" s="2" t="s">
        <v>82</v>
      </c>
      <c r="C93" s="38" t="s">
        <v>107</v>
      </c>
      <c r="D93" s="38"/>
      <c r="E93" s="38"/>
      <c r="F93" s="38"/>
      <c r="H93" s="30"/>
    </row>
    <row r="94" spans="2:8" ht="15" customHeight="1" x14ac:dyDescent="0.35">
      <c r="B94" s="2" t="s">
        <v>82</v>
      </c>
      <c r="C94" s="38" t="s">
        <v>108</v>
      </c>
      <c r="D94" s="38"/>
      <c r="E94" s="38"/>
      <c r="F94" s="38"/>
      <c r="H94" s="30"/>
    </row>
    <row r="95" spans="2:8" ht="15" customHeight="1" x14ac:dyDescent="0.35">
      <c r="B95" s="2" t="s">
        <v>82</v>
      </c>
      <c r="C95" s="38" t="s">
        <v>109</v>
      </c>
      <c r="D95" s="38"/>
      <c r="E95" s="38"/>
      <c r="F95" s="38"/>
      <c r="H95" s="30"/>
    </row>
    <row r="96" spans="2:8" x14ac:dyDescent="0.35">
      <c r="H96" s="30"/>
    </row>
    <row r="97" spans="8:8" x14ac:dyDescent="0.35">
      <c r="H97" s="30"/>
    </row>
    <row r="98" spans="8:8" x14ac:dyDescent="0.35">
      <c r="H98" s="30"/>
    </row>
    <row r="99" spans="8:8" x14ac:dyDescent="0.35">
      <c r="H99" s="30"/>
    </row>
    <row r="100" spans="8:8" x14ac:dyDescent="0.35">
      <c r="H100" s="30"/>
    </row>
  </sheetData>
  <mergeCells count="4">
    <mergeCell ref="C92:F92"/>
    <mergeCell ref="C93:F93"/>
    <mergeCell ref="C94:F94"/>
    <mergeCell ref="C95:F95"/>
  </mergeCells>
  <conditionalFormatting sqref="C7:F21">
    <cfRule type="colorScale" priority="3">
      <colorScale>
        <cfvo type="num" val="40"/>
        <cfvo type="num" val="50"/>
        <cfvo type="num" val="70"/>
        <color rgb="FFF8696B"/>
        <color rgb="FFFFFFFF"/>
        <color rgb="FF63BE7B"/>
      </colorScale>
    </cfRule>
  </conditionalFormatting>
  <conditionalFormatting sqref="C22:F22">
    <cfRule type="colorScale" priority="1">
      <colorScale>
        <cfvo type="num" val="40"/>
        <cfvo type="num" val="50"/>
        <cfvo type="num" val="70"/>
        <color rgb="FFF8696B"/>
        <color rgb="FFFFFFFF"/>
        <color rgb="FF63BE7B"/>
      </colorScale>
    </cfRule>
  </conditionalFormatting>
  <printOptions horizontalCentered="1"/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O101"/>
  <sheetViews>
    <sheetView showGridLines="0" tabSelected="1" zoomScaleNormal="100" workbookViewId="0">
      <selection activeCell="Y6" sqref="Y6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7" width="12" customWidth="1"/>
    <col min="8" max="8" width="16.54296875" customWidth="1"/>
    <col min="9" max="15" width="8.7265625" style="81"/>
  </cols>
  <sheetData>
    <row r="1" spans="2:8" customFormat="1" x14ac:dyDescent="0.35"/>
    <row r="2" spans="2:8" customFormat="1" ht="19.5" customHeight="1" x14ac:dyDescent="0.4">
      <c r="B2" s="62" t="s">
        <v>110</v>
      </c>
    </row>
    <row r="3" spans="2:8" customFormat="1" ht="15" customHeight="1" x14ac:dyDescent="0.35">
      <c r="B3" s="1" t="s">
        <v>111</v>
      </c>
    </row>
    <row r="4" spans="2:8" customFormat="1" x14ac:dyDescent="0.35"/>
    <row r="5" spans="2:8" customFormat="1" ht="15" customHeight="1" x14ac:dyDescent="0.4">
      <c r="B5" s="77" t="s">
        <v>173</v>
      </c>
      <c r="C5" s="18"/>
      <c r="D5" s="18"/>
      <c r="E5" s="18"/>
      <c r="F5" s="18"/>
      <c r="G5" s="18"/>
    </row>
    <row r="6" spans="2:8" customFormat="1" ht="15" customHeight="1" x14ac:dyDescent="0.35">
      <c r="B6" s="84" t="s">
        <v>59</v>
      </c>
      <c r="C6" s="84" t="s">
        <v>60</v>
      </c>
      <c r="D6" s="84" t="s">
        <v>61</v>
      </c>
      <c r="E6" s="84" t="s">
        <v>62</v>
      </c>
      <c r="F6" s="84" t="s">
        <v>63</v>
      </c>
      <c r="G6" s="84" t="s">
        <v>64</v>
      </c>
      <c r="H6" s="61" t="s">
        <v>243</v>
      </c>
    </row>
    <row r="7" spans="2:8" customFormat="1" ht="15" customHeight="1" x14ac:dyDescent="0.35">
      <c r="B7" s="70" t="s">
        <v>105</v>
      </c>
      <c r="C7" s="3">
        <f t="shared" ref="C7:H18" si="0">IFERROR(IF(C74="","",C74),"")</f>
        <v>4.5598743926773301E-2</v>
      </c>
      <c r="D7" s="3">
        <f t="shared" si="0"/>
        <v>4.9000000000000002E-2</v>
      </c>
      <c r="E7" s="3">
        <f t="shared" si="0"/>
        <v>5.2999999999999999E-2</v>
      </c>
      <c r="F7" s="3">
        <f t="shared" si="0"/>
        <v>3.5900000000000001E-2</v>
      </c>
      <c r="G7" s="3">
        <f t="shared" si="0"/>
        <v>1.8573086882757401E-2</v>
      </c>
      <c r="H7" s="3">
        <f t="shared" si="0"/>
        <v>2.99098E-2</v>
      </c>
    </row>
    <row r="8" spans="2:8" customFormat="1" ht="15" customHeight="1" x14ac:dyDescent="0.35">
      <c r="B8" s="70" t="s">
        <v>97</v>
      </c>
      <c r="C8" s="3">
        <f t="shared" si="0"/>
        <v>5.0576304147787597E-2</v>
      </c>
      <c r="D8" s="3">
        <f t="shared" si="0"/>
        <v>4.7E-2</v>
      </c>
      <c r="E8" s="3">
        <f t="shared" si="0"/>
        <v>5.3899999999999997E-2</v>
      </c>
      <c r="F8" s="3">
        <f t="shared" si="0"/>
        <v>3.7699999999999997E-2</v>
      </c>
      <c r="G8" s="3">
        <f t="shared" si="0"/>
        <v>1.47398330669508E-2</v>
      </c>
      <c r="H8" s="3">
        <f t="shared" ref="H8" si="1">IFERROR(IF(H75="","",H75),"")</f>
        <v>2.80158E-2</v>
      </c>
    </row>
    <row r="9" spans="2:8" customFormat="1" ht="15" customHeight="1" x14ac:dyDescent="0.35">
      <c r="B9" s="70" t="s">
        <v>98</v>
      </c>
      <c r="C9" s="3">
        <f t="shared" si="0"/>
        <v>5.4771896416748497E-2</v>
      </c>
      <c r="D9" s="3">
        <f t="shared" si="0"/>
        <v>4.9000000000000002E-2</v>
      </c>
      <c r="E9" s="3">
        <f t="shared" si="0"/>
        <v>5.3899999999999997E-2</v>
      </c>
      <c r="F9" s="3">
        <f t="shared" si="0"/>
        <v>3.7999999999999999E-2</v>
      </c>
      <c r="G9" s="3">
        <f t="shared" si="0"/>
        <v>1.28351648351648E-2</v>
      </c>
      <c r="H9" s="3">
        <f t="shared" ref="H9" si="2">IFERROR(IF(H76="","",H76),"")</f>
        <v>2.3819799999999999E-2</v>
      </c>
    </row>
    <row r="10" spans="2:8" customFormat="1" ht="15" customHeight="1" x14ac:dyDescent="0.35">
      <c r="B10" s="70" t="s">
        <v>65</v>
      </c>
      <c r="C10" s="3">
        <f t="shared" si="0"/>
        <v>5.5297285884977398E-2</v>
      </c>
      <c r="D10" s="3">
        <f t="shared" si="0"/>
        <v>4.4999999999999998E-2</v>
      </c>
      <c r="E10" s="3">
        <f t="shared" si="0"/>
        <v>5.2900000000000003E-2</v>
      </c>
      <c r="F10" s="3">
        <f t="shared" si="0"/>
        <v>3.9300000000000002E-2</v>
      </c>
      <c r="G10" s="3">
        <f t="shared" si="0"/>
        <v>1.65361949159997E-2</v>
      </c>
      <c r="H10" s="3">
        <f t="shared" ref="H10" si="3">IFERROR(IF(H77="","",H77),"")</f>
        <v>2.3253900000000001E-2</v>
      </c>
    </row>
    <row r="11" spans="2:8" customFormat="1" ht="15" customHeight="1" x14ac:dyDescent="0.35">
      <c r="B11" s="70" t="s">
        <v>66</v>
      </c>
      <c r="C11" s="3">
        <f t="shared" si="0"/>
        <v>5.3196355592552799E-2</v>
      </c>
      <c r="D11" s="3">
        <f t="shared" si="0"/>
        <v>4.4000000000000004E-2</v>
      </c>
      <c r="E11" s="3">
        <f t="shared" si="0"/>
        <v>5.1699999999999996E-2</v>
      </c>
      <c r="F11" s="3">
        <f t="shared" si="0"/>
        <v>4.4199999999999996E-2</v>
      </c>
      <c r="G11" s="3">
        <f t="shared" si="0"/>
        <v>1.6902896381723698E-2</v>
      </c>
      <c r="H11" s="3">
        <f t="shared" ref="H11" si="4">IFERROR(IF(H78="","",H78),"")</f>
        <v>2.3772700000000001E-2</v>
      </c>
    </row>
    <row r="12" spans="2:8" customFormat="1" ht="15" customHeight="1" x14ac:dyDescent="0.35">
      <c r="B12" s="70" t="s">
        <v>67</v>
      </c>
      <c r="C12" s="3">
        <f t="shared" si="0"/>
        <v>5.3511652375985097E-2</v>
      </c>
      <c r="D12" s="3">
        <f t="shared" si="0"/>
        <v>4.0999999999999995E-2</v>
      </c>
      <c r="E12" s="3">
        <f t="shared" si="0"/>
        <v>5.2000000000000005E-2</v>
      </c>
      <c r="F12" s="3">
        <f t="shared" si="0"/>
        <v>4.3200000000000002E-2</v>
      </c>
      <c r="G12" s="3">
        <f t="shared" si="0"/>
        <v>1.69700167062341E-2</v>
      </c>
      <c r="H12" s="3">
        <f t="shared" ref="H12" si="5">IFERROR(IF(H79="","",H79),"")</f>
        <v>2.6804499999999998E-2</v>
      </c>
    </row>
    <row r="13" spans="2:8" customFormat="1" ht="15" customHeight="1" x14ac:dyDescent="0.35">
      <c r="B13" s="70" t="s">
        <v>68</v>
      </c>
      <c r="C13" s="3">
        <f t="shared" si="0"/>
        <v>5.2252224220126202E-2</v>
      </c>
      <c r="D13" s="3">
        <f t="shared" si="0"/>
        <v>4.2999999999999997E-2</v>
      </c>
      <c r="E13" s="3">
        <f t="shared" si="0"/>
        <v>5.1900000000000002E-2</v>
      </c>
      <c r="F13" s="3">
        <f t="shared" si="0"/>
        <v>3.5099999999999999E-2</v>
      </c>
      <c r="G13" s="3">
        <f t="shared" si="0"/>
        <v>1.6842105263157998E-2</v>
      </c>
      <c r="H13" s="3">
        <f t="shared" ref="H13" si="6">IFERROR(IF(H80="","",H80),"")</f>
        <v>2.7426200000000001E-2</v>
      </c>
    </row>
    <row r="14" spans="2:8" customFormat="1" ht="15" customHeight="1" x14ac:dyDescent="0.35">
      <c r="B14" s="70" t="s">
        <v>69</v>
      </c>
      <c r="C14" s="3">
        <f t="shared" si="0"/>
        <v>5.1305007775039199E-2</v>
      </c>
      <c r="D14" s="3">
        <f t="shared" si="0"/>
        <v>0.04</v>
      </c>
      <c r="E14" s="3">
        <f t="shared" si="0"/>
        <v>5.1100000000000007E-2</v>
      </c>
      <c r="F14" s="3">
        <f t="shared" si="0"/>
        <v>3.5699999999999996E-2</v>
      </c>
      <c r="G14" s="3">
        <f t="shared" si="0"/>
        <v>1.1109167249825099E-2</v>
      </c>
      <c r="H14" s="3">
        <f t="shared" ref="H14" si="7">IFERROR(IF(H81="","",H81),"")</f>
        <v>2.93859E-2</v>
      </c>
    </row>
    <row r="15" spans="2:8" customFormat="1" ht="15" customHeight="1" x14ac:dyDescent="0.35">
      <c r="B15" s="70" t="s">
        <v>70</v>
      </c>
      <c r="C15" s="3">
        <f t="shared" si="0"/>
        <v>5.1723687586976402E-2</v>
      </c>
      <c r="D15" s="3">
        <f t="shared" si="0"/>
        <v>4.4000000000000004E-2</v>
      </c>
      <c r="E15" s="3">
        <f t="shared" si="0"/>
        <v>5.0700000000000002E-2</v>
      </c>
      <c r="F15" s="3">
        <f t="shared" si="0"/>
        <v>3.7599999999999995E-2</v>
      </c>
      <c r="G15" s="3">
        <f t="shared" si="0"/>
        <v>1.35905304690924E-2</v>
      </c>
      <c r="H15" s="3">
        <f t="shared" ref="H15" si="8">IFERROR(IF(H82="","",H82),"")</f>
        <v>3.0225700000000001E-2</v>
      </c>
    </row>
    <row r="16" spans="2:8" customFormat="1" ht="15" customHeight="1" x14ac:dyDescent="0.35">
      <c r="B16" s="70" t="s">
        <v>71</v>
      </c>
      <c r="C16" s="3">
        <f t="shared" si="0"/>
        <v>4.6808113470370602E-2</v>
      </c>
      <c r="D16" s="3">
        <f t="shared" si="0"/>
        <v>3.4000000000000002E-2</v>
      </c>
      <c r="E16" s="3">
        <f t="shared" si="0"/>
        <v>5.0799999999999998E-2</v>
      </c>
      <c r="F16" s="3">
        <f t="shared" si="0"/>
        <v>3.5699999999999996E-2</v>
      </c>
      <c r="G16" s="3">
        <f t="shared" si="0"/>
        <v>1.35158855538002E-2</v>
      </c>
      <c r="H16" s="3">
        <f t="shared" ref="H16" si="9">IFERROR(IF(H83="","",H83),"")</f>
        <v>3.0225700000000001E-2</v>
      </c>
    </row>
    <row r="17" spans="2:15" ht="15" customHeight="1" x14ac:dyDescent="0.35">
      <c r="B17" s="70" t="s">
        <v>72</v>
      </c>
      <c r="C17" s="3">
        <f t="shared" si="0"/>
        <v>4.4618356484328298E-2</v>
      </c>
      <c r="D17" s="3">
        <f t="shared" si="0"/>
        <v>3.4000000000000002E-2</v>
      </c>
      <c r="E17" s="3">
        <f t="shared" si="0"/>
        <v>5.0999999999999997E-2</v>
      </c>
      <c r="F17" s="3">
        <f t="shared" si="0"/>
        <v>3.7999999999999999E-2</v>
      </c>
      <c r="G17" s="3">
        <f t="shared" si="0"/>
        <v>1.36782113108287E-2</v>
      </c>
      <c r="H17" s="3">
        <f t="shared" ref="H17" si="10">IFERROR(IF(H84="","",H84),"")</f>
        <v>2.6964399999999999E-2</v>
      </c>
      <c r="I17"/>
      <c r="J17"/>
      <c r="K17"/>
      <c r="L17"/>
      <c r="M17"/>
      <c r="N17"/>
      <c r="O17"/>
    </row>
    <row r="18" spans="2:15" ht="15" customHeight="1" x14ac:dyDescent="0.35">
      <c r="B18" s="70" t="s">
        <v>73</v>
      </c>
      <c r="C18" s="3">
        <f t="shared" si="0"/>
        <v>4.2643849045689498E-2</v>
      </c>
      <c r="D18" s="3">
        <f t="shared" si="0"/>
        <v>3.5000000000000003E-2</v>
      </c>
      <c r="E18" s="3">
        <f t="shared" si="0"/>
        <v>5.0999999999999997E-2</v>
      </c>
      <c r="F18" s="3">
        <f t="shared" si="0"/>
        <v>3.6900000000000002E-2</v>
      </c>
      <c r="G18" s="3">
        <f t="shared" si="0"/>
        <v>1.5065253569238801E-2</v>
      </c>
      <c r="H18" s="3">
        <f t="shared" ref="H18" si="11">IFERROR(IF(H85="","",H85),"")</f>
        <v>2.6533000000000001E-2</v>
      </c>
      <c r="I18"/>
      <c r="J18"/>
      <c r="K18"/>
      <c r="L18"/>
      <c r="M18"/>
      <c r="N18"/>
      <c r="O18"/>
    </row>
    <row r="19" spans="2:15" ht="15" customHeight="1" x14ac:dyDescent="0.35">
      <c r="B19" s="70" t="s">
        <v>74</v>
      </c>
      <c r="C19" s="3">
        <f t="shared" ref="C19:H19" si="12">IFERROR(IF(C86="","",C86),"")</f>
        <v>4.4413512128134602E-2</v>
      </c>
      <c r="D19" s="3">
        <f t="shared" si="12"/>
        <v>2.7999999999999997E-2</v>
      </c>
      <c r="E19" s="3">
        <f t="shared" si="12"/>
        <v>5.04E-2</v>
      </c>
      <c r="F19" s="3">
        <f t="shared" si="12"/>
        <v>3.7900000000000003E-2</v>
      </c>
      <c r="G19" s="3">
        <f t="shared" si="12"/>
        <v>1.7007100902954399E-2</v>
      </c>
      <c r="H19" s="3">
        <f t="shared" si="12"/>
        <v>2.3911999999999999E-2</v>
      </c>
      <c r="I19"/>
      <c r="J19"/>
      <c r="K19"/>
      <c r="L19"/>
      <c r="M19"/>
      <c r="N19"/>
      <c r="O19"/>
    </row>
    <row r="20" spans="2:15" ht="15" customHeight="1" x14ac:dyDescent="0.35">
      <c r="B20" s="74" t="s">
        <v>75</v>
      </c>
      <c r="C20" s="3">
        <f t="shared" ref="C20:H20" si="13">IFERROR(IF(C87="","",C87),"")</f>
        <v>3.8124969611125901E-2</v>
      </c>
      <c r="D20" s="3">
        <f t="shared" si="13"/>
        <v>2.4E-2</v>
      </c>
      <c r="E20" s="3">
        <f t="shared" si="13"/>
        <v>5.2900000000000003E-2</v>
      </c>
      <c r="F20" s="3">
        <f t="shared" si="13"/>
        <v>4.0199999999999993E-2</v>
      </c>
      <c r="G20" s="3">
        <f t="shared" si="13"/>
        <v>2.2138606930346399E-2</v>
      </c>
      <c r="H20" s="3">
        <f t="shared" si="13"/>
        <v>2.4340000000000001E-2</v>
      </c>
      <c r="I20"/>
      <c r="J20"/>
      <c r="K20"/>
      <c r="L20"/>
      <c r="M20"/>
      <c r="N20"/>
      <c r="O20"/>
    </row>
    <row r="21" spans="2:15" ht="15" customHeight="1" thickBot="1" x14ac:dyDescent="0.4">
      <c r="B21" s="74" t="s">
        <v>76</v>
      </c>
      <c r="C21" s="3">
        <f t="shared" ref="C21:H21" si="14">IFERROR(IF(C88="","",C88),"")</f>
        <v>4.1428469912195599E-2</v>
      </c>
      <c r="D21" s="3">
        <f t="shared" si="14"/>
        <v>2.7999999999999997E-2</v>
      </c>
      <c r="E21" s="3">
        <f t="shared" si="14"/>
        <v>5.5599999999999997E-2</v>
      </c>
      <c r="F21" s="3">
        <f t="shared" si="14"/>
        <v>4.5899999999999996E-2</v>
      </c>
      <c r="G21" s="3">
        <f t="shared" si="14"/>
        <v>3.8017533200243002E-2</v>
      </c>
      <c r="H21" s="3">
        <f>IFERROR(IF(H88="","",H88),"")</f>
        <v>3.2859600000000003E-2</v>
      </c>
      <c r="I21"/>
      <c r="J21"/>
      <c r="K21"/>
      <c r="L21"/>
      <c r="M21"/>
      <c r="N21"/>
      <c r="O21"/>
    </row>
    <row r="22" spans="2:15" ht="15" customHeight="1" thickBot="1" x14ac:dyDescent="0.4">
      <c r="B22" s="71" t="s">
        <v>77</v>
      </c>
      <c r="C22" s="78">
        <f>IFERROR(AVERAGE(C7:C18),"")</f>
        <v>5.0191956410612915E-2</v>
      </c>
      <c r="D22" s="78">
        <f>IFERROR(AVERAGE(D7:D18),"")</f>
        <v>4.2083333333333334E-2</v>
      </c>
      <c r="E22" s="78">
        <f>IFERROR(AVERAGE(E7:E18),"")</f>
        <v>5.1991666666666679E-2</v>
      </c>
      <c r="F22" s="78">
        <f>IFERROR(AVERAGE(F7:F18),"")</f>
        <v>3.8108333333333334E-2</v>
      </c>
      <c r="G22" s="79">
        <f>IFERROR(AVERAGE(G7:G18),"")</f>
        <v>1.5029862183731141E-2</v>
      </c>
      <c r="H22" s="79">
        <f>IFERROR(AVERAGE(H7:H18),"")</f>
        <v>2.7194783333333333E-2</v>
      </c>
      <c r="I22"/>
      <c r="J22"/>
      <c r="K22"/>
      <c r="L22"/>
      <c r="M22"/>
      <c r="N22"/>
      <c r="O22"/>
    </row>
    <row r="23" spans="2:15" x14ac:dyDescent="0.35">
      <c r="I23"/>
      <c r="J23"/>
      <c r="K23"/>
      <c r="L23"/>
      <c r="M23"/>
      <c r="N23"/>
      <c r="O23"/>
    </row>
    <row r="24" spans="2:15" x14ac:dyDescent="0.35">
      <c r="I24"/>
      <c r="J24"/>
      <c r="K24"/>
      <c r="L24"/>
      <c r="M24"/>
      <c r="N24"/>
      <c r="O24"/>
    </row>
    <row r="25" spans="2:15" ht="15" customHeight="1" x14ac:dyDescent="0.35">
      <c r="B25" s="63" t="s">
        <v>78</v>
      </c>
      <c r="I25"/>
      <c r="J25"/>
      <c r="K25"/>
      <c r="L25"/>
      <c r="M25"/>
      <c r="N25"/>
      <c r="O25"/>
    </row>
    <row r="26" spans="2:15" ht="15" customHeight="1" x14ac:dyDescent="0.35">
      <c r="B26" s="61" t="s">
        <v>79</v>
      </c>
      <c r="C26" s="61" t="s">
        <v>60</v>
      </c>
      <c r="D26" s="61" t="s">
        <v>61</v>
      </c>
      <c r="E26" s="61" t="s">
        <v>62</v>
      </c>
      <c r="F26" s="61" t="s">
        <v>63</v>
      </c>
      <c r="G26" s="61" t="s">
        <v>64</v>
      </c>
      <c r="H26" s="61" t="s">
        <v>243</v>
      </c>
      <c r="I26" s="80"/>
      <c r="J26" s="80"/>
      <c r="K26" s="80"/>
    </row>
    <row r="27" spans="2:15" ht="15" customHeight="1" x14ac:dyDescent="0.35">
      <c r="B27" s="4">
        <v>44228</v>
      </c>
      <c r="C27" s="5">
        <v>5.1952805482628803E-2</v>
      </c>
      <c r="D27" s="5">
        <v>2.7999999999999997E-2</v>
      </c>
      <c r="E27" s="6">
        <v>2.5099999999999997E-2</v>
      </c>
      <c r="F27" s="5">
        <v>3.7599999999999995E-2</v>
      </c>
      <c r="G27" s="5">
        <v>2.4046793760831998E-2</v>
      </c>
      <c r="H27" s="5">
        <v>1.66982E-2</v>
      </c>
      <c r="M27" s="82"/>
      <c r="N27" s="82"/>
    </row>
    <row r="28" spans="2:15" ht="15" customHeight="1" x14ac:dyDescent="0.35">
      <c r="B28" s="4">
        <v>44256</v>
      </c>
      <c r="C28" s="5">
        <v>6.0993271283718897E-2</v>
      </c>
      <c r="D28" s="5">
        <v>2.8999999999999998E-2</v>
      </c>
      <c r="E28" s="6">
        <v>2.58E-2</v>
      </c>
      <c r="F28" s="5">
        <v>4.6699999999999998E-2</v>
      </c>
      <c r="G28" s="5">
        <v>2.59362892811019E-2</v>
      </c>
      <c r="H28" s="5">
        <v>2.6678199999999999E-2</v>
      </c>
      <c r="M28" s="83"/>
      <c r="N28" s="83"/>
    </row>
    <row r="29" spans="2:15" ht="15" customHeight="1" x14ac:dyDescent="0.35">
      <c r="B29" s="4">
        <v>44287</v>
      </c>
      <c r="C29" s="5">
        <v>6.7591885269032898E-2</v>
      </c>
      <c r="D29" s="5">
        <v>3.3000000000000002E-2</v>
      </c>
      <c r="E29" s="6">
        <v>3.0600000000000002E-2</v>
      </c>
      <c r="F29" s="5">
        <v>6.08E-2</v>
      </c>
      <c r="G29" s="5">
        <v>2.3868401247177699E-2</v>
      </c>
      <c r="H29" s="5">
        <v>4.1330799999999994E-2</v>
      </c>
      <c r="M29" s="83"/>
      <c r="N29" s="83"/>
    </row>
    <row r="30" spans="2:15" ht="15" customHeight="1" x14ac:dyDescent="0.35">
      <c r="B30" s="4">
        <v>44317</v>
      </c>
      <c r="C30" s="5">
        <v>8.0559022201129704E-2</v>
      </c>
      <c r="D30" s="5">
        <v>3.6000000000000004E-2</v>
      </c>
      <c r="E30" s="6">
        <v>3.49E-2</v>
      </c>
      <c r="F30" s="5">
        <v>5.8899999999999994E-2</v>
      </c>
      <c r="G30" s="5">
        <v>2.4570815450643699E-2</v>
      </c>
      <c r="H30" s="5">
        <v>4.91826E-2</v>
      </c>
      <c r="M30" s="83"/>
      <c r="N30" s="83"/>
    </row>
    <row r="31" spans="2:15" ht="15" customHeight="1" x14ac:dyDescent="0.35">
      <c r="B31" s="4">
        <v>44348</v>
      </c>
      <c r="C31" s="5">
        <v>8.3468965707955298E-2</v>
      </c>
      <c r="D31" s="5">
        <v>3.7999999999999999E-2</v>
      </c>
      <c r="E31" s="6">
        <v>3.7100000000000001E-2</v>
      </c>
      <c r="F31" s="5">
        <v>5.8799999999999998E-2</v>
      </c>
      <c r="G31" s="5">
        <v>3.2487091222031202E-2</v>
      </c>
      <c r="H31" s="5">
        <v>5.2956299999999998E-2</v>
      </c>
      <c r="M31" s="83"/>
      <c r="N31" s="83"/>
    </row>
    <row r="32" spans="2:15" ht="15" customHeight="1" x14ac:dyDescent="0.35">
      <c r="B32" s="4">
        <v>44378</v>
      </c>
      <c r="C32" s="5">
        <v>8.9946460520876598E-2</v>
      </c>
      <c r="D32" s="5">
        <v>4.4999999999999998E-2</v>
      </c>
      <c r="E32" s="6">
        <v>3.95E-2</v>
      </c>
      <c r="F32" s="5">
        <v>5.8099999999999999E-2</v>
      </c>
      <c r="G32" s="5">
        <v>3.8119713031373702E-2</v>
      </c>
      <c r="H32" s="5">
        <v>5.2451699999999997E-2</v>
      </c>
      <c r="M32" s="83"/>
      <c r="N32" s="83"/>
    </row>
    <row r="33" spans="2:14" ht="15" customHeight="1" x14ac:dyDescent="0.35">
      <c r="B33" s="4">
        <v>44409</v>
      </c>
      <c r="C33" s="5">
        <v>9.6796682688954402E-2</v>
      </c>
      <c r="D33" s="5">
        <v>4.8000000000000001E-2</v>
      </c>
      <c r="E33" s="6">
        <v>4.0899999999999999E-2</v>
      </c>
      <c r="F33" s="5">
        <v>5.5899999999999998E-2</v>
      </c>
      <c r="G33" s="5">
        <v>4.9528301886792497E-2</v>
      </c>
      <c r="H33" s="5">
        <v>5.1520200000000002E-2</v>
      </c>
      <c r="M33" s="83"/>
      <c r="N33" s="83"/>
    </row>
    <row r="34" spans="2:14" ht="15" customHeight="1" x14ac:dyDescent="0.35">
      <c r="B34" s="4">
        <v>44440</v>
      </c>
      <c r="C34" s="5">
        <v>0.102463756168667</v>
      </c>
      <c r="D34" s="5">
        <v>5.2999999999999999E-2</v>
      </c>
      <c r="E34" s="6">
        <v>4.7E-2</v>
      </c>
      <c r="F34" s="5">
        <v>0.06</v>
      </c>
      <c r="G34" s="5">
        <v>5.2349855475858999E-2</v>
      </c>
      <c r="H34" s="5">
        <v>5.3512199999999996E-2</v>
      </c>
      <c r="M34" s="83"/>
      <c r="N34" s="83"/>
    </row>
    <row r="35" spans="2:14" ht="15" customHeight="1" x14ac:dyDescent="0.35">
      <c r="B35" s="4">
        <v>44470</v>
      </c>
      <c r="C35" s="5">
        <v>0.106726703470926</v>
      </c>
      <c r="D35" s="5">
        <v>0.06</v>
      </c>
      <c r="E35" s="6">
        <v>5.2600000000000001E-2</v>
      </c>
      <c r="F35" s="5">
        <v>6.2400000000000004E-2</v>
      </c>
      <c r="G35" s="5">
        <v>5.8225409397409701E-2</v>
      </c>
      <c r="H35" s="5">
        <v>6.23504E-2</v>
      </c>
      <c r="M35" s="83"/>
      <c r="N35" s="83"/>
    </row>
    <row r="36" spans="2:14" ht="15" customHeight="1" x14ac:dyDescent="0.35">
      <c r="B36" s="4">
        <v>44501</v>
      </c>
      <c r="C36" s="5">
        <v>0.10738488170671</v>
      </c>
      <c r="D36" s="5">
        <v>6.7000000000000004E-2</v>
      </c>
      <c r="E36" s="6">
        <v>5.57E-2</v>
      </c>
      <c r="F36" s="5">
        <v>7.3700000000000002E-2</v>
      </c>
      <c r="G36" s="5">
        <v>5.6543499094878102E-2</v>
      </c>
      <c r="H36" s="5">
        <v>6.9019700000000003E-2</v>
      </c>
      <c r="M36" s="83"/>
      <c r="N36" s="83"/>
    </row>
    <row r="37" spans="2:14" ht="15" customHeight="1" x14ac:dyDescent="0.35">
      <c r="B37" s="4">
        <v>44531</v>
      </c>
      <c r="C37" s="5">
        <v>0.10061054893257899</v>
      </c>
      <c r="D37" s="5">
        <v>7.2000000000000008E-2</v>
      </c>
      <c r="E37" s="6">
        <v>5.62E-2</v>
      </c>
      <c r="F37" s="5">
        <v>7.3599999999999999E-2</v>
      </c>
      <c r="G37" s="5">
        <v>6.4282673478075897E-2</v>
      </c>
      <c r="H37" s="5">
        <v>7.1743399999999999E-2</v>
      </c>
      <c r="M37" s="83"/>
      <c r="N37" s="83"/>
    </row>
    <row r="38" spans="2:14" ht="15" customHeight="1" x14ac:dyDescent="0.35">
      <c r="B38" s="4">
        <v>44562</v>
      </c>
      <c r="C38" s="5">
        <v>0.103794359996823</v>
      </c>
      <c r="D38" s="5">
        <v>7.6999999999999999E-2</v>
      </c>
      <c r="E38" s="6">
        <v>6.93E-2</v>
      </c>
      <c r="F38" s="5">
        <v>7.0699999999999999E-2</v>
      </c>
      <c r="G38" s="5">
        <v>5.6834988379463401E-2</v>
      </c>
      <c r="H38" s="5">
        <v>7.5588100000000005E-2</v>
      </c>
      <c r="M38" s="83"/>
      <c r="N38" s="83"/>
    </row>
    <row r="39" spans="2:14" ht="15" customHeight="1" x14ac:dyDescent="0.35">
      <c r="B39" s="4">
        <v>44593</v>
      </c>
      <c r="C39" s="5">
        <v>0.105435934000388</v>
      </c>
      <c r="D39" s="5">
        <v>7.8E-2</v>
      </c>
      <c r="E39" s="6">
        <v>7.5199999999999989E-2</v>
      </c>
      <c r="F39" s="5">
        <v>7.2800000000000004E-2</v>
      </c>
      <c r="G39" s="5">
        <v>6.1455468584726003E-2</v>
      </c>
      <c r="H39" s="5">
        <v>7.9372800000000007E-2</v>
      </c>
      <c r="M39" s="83"/>
      <c r="N39" s="83"/>
    </row>
    <row r="40" spans="2:14" ht="15" customHeight="1" x14ac:dyDescent="0.35">
      <c r="B40" s="4">
        <v>44621</v>
      </c>
      <c r="C40" s="5">
        <v>0.11299315974556</v>
      </c>
      <c r="D40" s="5">
        <v>9.4E-2</v>
      </c>
      <c r="E40" s="6">
        <v>7.5399999999999995E-2</v>
      </c>
      <c r="F40" s="5">
        <v>7.4499999999999997E-2</v>
      </c>
      <c r="G40" s="5">
        <v>6.82891010175182E-2</v>
      </c>
      <c r="H40" s="5">
        <v>8.5722000000000007E-2</v>
      </c>
      <c r="M40" s="83"/>
      <c r="N40" s="83"/>
    </row>
    <row r="41" spans="2:14" ht="15" customHeight="1" x14ac:dyDescent="0.35">
      <c r="B41" s="4">
        <v>44652</v>
      </c>
      <c r="C41" s="5">
        <v>0.121314811323759</v>
      </c>
      <c r="D41" s="5">
        <v>0.105</v>
      </c>
      <c r="E41" s="6">
        <v>8.0399999999999985E-2</v>
      </c>
      <c r="F41" s="5">
        <v>7.6799999999999993E-2</v>
      </c>
      <c r="G41" s="5">
        <v>7.9701774650845297E-2</v>
      </c>
      <c r="H41" s="5">
        <v>8.2317500000000002E-2</v>
      </c>
      <c r="M41" s="83"/>
      <c r="N41" s="83"/>
    </row>
    <row r="42" spans="2:14" ht="15" customHeight="1" x14ac:dyDescent="0.35">
      <c r="B42" s="4">
        <v>44682</v>
      </c>
      <c r="C42" s="5">
        <v>0.11731130708814901</v>
      </c>
      <c r="D42" s="5">
        <v>0.115</v>
      </c>
      <c r="E42" s="6">
        <v>8.2400000000000001E-2</v>
      </c>
      <c r="F42" s="5">
        <v>7.6499999999999999E-2</v>
      </c>
      <c r="G42" s="5">
        <v>8.08461619017697E-2</v>
      </c>
      <c r="H42" s="5">
        <v>8.5381699999999991E-2</v>
      </c>
      <c r="M42" s="83"/>
      <c r="N42" s="83"/>
    </row>
    <row r="43" spans="2:14" ht="15" customHeight="1" x14ac:dyDescent="0.35">
      <c r="B43" s="4">
        <v>44713</v>
      </c>
      <c r="C43" s="5">
        <v>0.11886729617590699</v>
      </c>
      <c r="D43" s="5">
        <v>0.125</v>
      </c>
      <c r="E43" s="6">
        <v>9.2300000000000007E-2</v>
      </c>
      <c r="F43" s="5">
        <v>7.9899999999999999E-2</v>
      </c>
      <c r="G43" s="5">
        <v>8.8143363200666694E-2</v>
      </c>
      <c r="H43" s="5">
        <v>8.9793600000000001E-2</v>
      </c>
      <c r="M43" s="83"/>
      <c r="N43" s="83"/>
    </row>
    <row r="44" spans="2:14" ht="15" customHeight="1" x14ac:dyDescent="0.35">
      <c r="B44" s="4">
        <v>44743</v>
      </c>
      <c r="C44" s="5">
        <v>0.100692351982875</v>
      </c>
      <c r="D44" s="5">
        <v>0.13100000000000001</v>
      </c>
      <c r="E44" s="6">
        <v>9.7100000000000006E-2</v>
      </c>
      <c r="F44" s="5">
        <v>8.1500000000000003E-2</v>
      </c>
      <c r="G44" s="5">
        <v>8.7364620938628096E-2</v>
      </c>
      <c r="H44" s="5">
        <v>8.4625800000000015E-2</v>
      </c>
      <c r="M44" s="83"/>
      <c r="N44" s="83"/>
    </row>
    <row r="45" spans="2:14" ht="15" customHeight="1" x14ac:dyDescent="0.35">
      <c r="B45" s="4">
        <v>44774</v>
      </c>
      <c r="C45" s="5">
        <v>8.7270605250061403E-2</v>
      </c>
      <c r="D45" s="5">
        <v>0.14099999999999999</v>
      </c>
      <c r="E45" s="6">
        <v>0.1082</v>
      </c>
      <c r="F45" s="5">
        <v>8.6999999999999994E-2</v>
      </c>
      <c r="G45" s="5">
        <v>8.4065372829417603E-2</v>
      </c>
      <c r="H45" s="5">
        <v>8.2225800000000002E-2</v>
      </c>
      <c r="M45" s="83"/>
      <c r="N45" s="83"/>
    </row>
    <row r="46" spans="2:14" ht="15" customHeight="1" x14ac:dyDescent="0.35">
      <c r="B46" s="4">
        <v>44805</v>
      </c>
      <c r="C46" s="5">
        <v>7.1685963320320595E-2</v>
      </c>
      <c r="D46" s="5">
        <v>0.13699999999999998</v>
      </c>
      <c r="E46" s="6">
        <v>0.11289999999999999</v>
      </c>
      <c r="F46" s="5">
        <v>8.6999999999999994E-2</v>
      </c>
      <c r="G46" s="5">
        <v>8.5249237029501698E-2</v>
      </c>
      <c r="H46" s="5">
        <v>8.1921099999999997E-2</v>
      </c>
      <c r="M46" s="83"/>
      <c r="N46" s="83"/>
    </row>
    <row r="47" spans="2:14" ht="15" customHeight="1" x14ac:dyDescent="0.35">
      <c r="B47" s="4">
        <v>44835</v>
      </c>
      <c r="C47" s="5">
        <v>6.4700158522380799E-2</v>
      </c>
      <c r="D47" s="5">
        <v>0.128</v>
      </c>
      <c r="E47" s="6">
        <v>0.125</v>
      </c>
      <c r="F47" s="5">
        <v>8.4100000000000008E-2</v>
      </c>
      <c r="G47" s="5">
        <v>8.2734904419945299E-2</v>
      </c>
      <c r="H47" s="5">
        <v>7.7588100000000007E-2</v>
      </c>
      <c r="M47" s="83"/>
      <c r="N47" s="83"/>
    </row>
    <row r="48" spans="2:14" ht="15" customHeight="1" x14ac:dyDescent="0.35">
      <c r="B48" s="4">
        <v>44866</v>
      </c>
      <c r="C48" s="5">
        <v>5.9004882785856902E-2</v>
      </c>
      <c r="D48" s="5">
        <v>0.13300000000000001</v>
      </c>
      <c r="E48" s="6">
        <v>0.12839999999999999</v>
      </c>
      <c r="F48" s="5">
        <v>7.8E-2</v>
      </c>
      <c r="G48" s="5">
        <v>8.4458778472082302E-2</v>
      </c>
      <c r="H48" s="5">
        <v>7.1228600000000003E-2</v>
      </c>
      <c r="M48" s="83"/>
      <c r="N48" s="83"/>
    </row>
    <row r="49" spans="2:14" ht="15" customHeight="1" x14ac:dyDescent="0.35">
      <c r="B49" s="4">
        <v>44896</v>
      </c>
      <c r="C49" s="5">
        <v>5.7848419596077602E-2</v>
      </c>
      <c r="D49" s="5">
        <v>0.128</v>
      </c>
      <c r="E49" s="6">
        <v>0.13119999999999998</v>
      </c>
      <c r="F49" s="5">
        <v>7.8200000000000006E-2</v>
      </c>
      <c r="G49" s="5">
        <v>8.4599999999999995E-2</v>
      </c>
      <c r="H49" s="5">
        <v>6.4046000000000006E-2</v>
      </c>
      <c r="M49" s="83"/>
      <c r="N49" s="83"/>
    </row>
    <row r="50" spans="2:14" ht="15" customHeight="1" x14ac:dyDescent="0.35">
      <c r="B50" s="4">
        <v>44927</v>
      </c>
      <c r="C50" s="5">
        <v>5.7743202924146302E-2</v>
      </c>
      <c r="D50" s="5">
        <v>0.12300000000000001</v>
      </c>
      <c r="E50" s="6">
        <v>0.11749999999999999</v>
      </c>
      <c r="F50" s="5">
        <v>7.9100000000000004E-2</v>
      </c>
      <c r="G50" s="5">
        <v>8.6565373850459704E-2</v>
      </c>
      <c r="H50" s="5">
        <v>6.3271800000000003E-2</v>
      </c>
      <c r="M50" s="83"/>
      <c r="N50" s="83"/>
    </row>
    <row r="51" spans="2:14" ht="15" customHeight="1" x14ac:dyDescent="0.35">
      <c r="B51" s="4">
        <v>44958</v>
      </c>
      <c r="C51" s="5">
        <v>5.5963019333441298E-2</v>
      </c>
      <c r="D51" s="5">
        <v>0.11900000000000001</v>
      </c>
      <c r="E51" s="6">
        <v>0.1242</v>
      </c>
      <c r="F51" s="5">
        <v>7.6200000000000004E-2</v>
      </c>
      <c r="G51" s="5">
        <v>8.6397608370702497E-2</v>
      </c>
      <c r="H51" s="5">
        <v>5.9578199999999998E-2</v>
      </c>
      <c r="M51" s="83"/>
      <c r="N51" s="83"/>
    </row>
    <row r="52" spans="2:14" ht="15" customHeight="1" x14ac:dyDescent="0.35">
      <c r="B52" s="4">
        <v>44986</v>
      </c>
      <c r="C52" s="5">
        <v>4.6506944273478901E-2</v>
      </c>
      <c r="D52" s="5">
        <v>0.111</v>
      </c>
      <c r="E52" s="6">
        <v>0.12039999999999999</v>
      </c>
      <c r="F52" s="5">
        <v>6.8499999999999991E-2</v>
      </c>
      <c r="G52" s="5">
        <v>8.3955223880596994E-2</v>
      </c>
      <c r="H52" s="5">
        <v>4.9177200000000004E-2</v>
      </c>
      <c r="M52" s="83"/>
      <c r="N52" s="83"/>
    </row>
    <row r="53" spans="2:14" ht="15" customHeight="1" x14ac:dyDescent="0.35">
      <c r="B53" s="4">
        <v>45017</v>
      </c>
      <c r="C53" s="5">
        <v>4.1847057820648202E-2</v>
      </c>
      <c r="D53" s="5">
        <v>9.9000000000000005E-2</v>
      </c>
      <c r="E53" s="6">
        <v>0.11109999999999999</v>
      </c>
      <c r="F53" s="5">
        <v>6.25E-2</v>
      </c>
      <c r="G53" s="5">
        <v>7.9653763859171403E-2</v>
      </c>
      <c r="H53" s="5">
        <v>4.9500799999999998E-2</v>
      </c>
      <c r="M53" s="83"/>
      <c r="N53" s="83"/>
    </row>
    <row r="54" spans="2:14" ht="15" customHeight="1" x14ac:dyDescent="0.35">
      <c r="B54" s="4">
        <v>45047</v>
      </c>
      <c r="C54" s="5">
        <v>3.9358321940515403E-2</v>
      </c>
      <c r="D54" s="5">
        <v>8.6999999999999994E-2</v>
      </c>
      <c r="E54" s="6">
        <v>0.10769999999999999</v>
      </c>
      <c r="F54" s="5">
        <v>5.8400000000000001E-2</v>
      </c>
      <c r="G54" s="5">
        <v>7.8965216548784203E-2</v>
      </c>
      <c r="H54" s="5">
        <v>4.1318500000000001E-2</v>
      </c>
      <c r="M54" s="83"/>
      <c r="N54" s="83"/>
    </row>
    <row r="55" spans="2:14" ht="15" customHeight="1" x14ac:dyDescent="0.35">
      <c r="B55" s="4">
        <v>45078</v>
      </c>
      <c r="C55" s="5">
        <v>3.1615014684576198E-2</v>
      </c>
      <c r="D55" s="5">
        <v>7.5999999999999998E-2</v>
      </c>
      <c r="E55" s="6">
        <v>0.10439999999999999</v>
      </c>
      <c r="F55" s="5">
        <v>5.0599999999999999E-2</v>
      </c>
      <c r="G55" s="5">
        <v>6.4630409804672606E-2</v>
      </c>
      <c r="H55" s="5">
        <v>3.0706199999999999E-2</v>
      </c>
      <c r="M55" s="83"/>
      <c r="N55" s="83"/>
    </row>
    <row r="56" spans="2:14" ht="15" customHeight="1" x14ac:dyDescent="0.35">
      <c r="B56" s="4">
        <v>45108</v>
      </c>
      <c r="C56" s="5">
        <v>3.9924438886627098E-2</v>
      </c>
      <c r="D56" s="5">
        <v>6.5000000000000002E-2</v>
      </c>
      <c r="E56" s="6">
        <v>9.820000000000001E-2</v>
      </c>
      <c r="F56" s="5">
        <v>4.7899999999999998E-2</v>
      </c>
      <c r="G56" s="5">
        <v>5.8812369569341702E-2</v>
      </c>
      <c r="H56" s="5">
        <v>3.2877499999999997E-2</v>
      </c>
      <c r="M56" s="83"/>
      <c r="N56" s="83"/>
    </row>
    <row r="57" spans="2:14" ht="15" customHeight="1" x14ac:dyDescent="0.35">
      <c r="B57" s="4">
        <v>45139</v>
      </c>
      <c r="C57" s="5">
        <v>4.6082160875216903E-2</v>
      </c>
      <c r="D57" s="5">
        <v>5.2999999999999999E-2</v>
      </c>
      <c r="E57" s="6">
        <v>9.5199999999999993E-2</v>
      </c>
      <c r="F57" s="5">
        <v>4.6399999999999997E-2</v>
      </c>
      <c r="G57" s="5">
        <v>5.56864223122586E-2</v>
      </c>
      <c r="H57" s="5">
        <v>3.7225000000000001E-2</v>
      </c>
      <c r="M57" s="83"/>
      <c r="N57" s="83"/>
    </row>
    <row r="58" spans="2:14" ht="15" customHeight="1" x14ac:dyDescent="0.35">
      <c r="B58" s="4">
        <v>45170</v>
      </c>
      <c r="C58" s="5">
        <v>5.1852346297756299E-2</v>
      </c>
      <c r="D58" s="5">
        <v>5.0999999999999997E-2</v>
      </c>
      <c r="E58" s="6">
        <v>9.3100000000000002E-2</v>
      </c>
      <c r="F58" s="5">
        <v>4.4500000000000005E-2</v>
      </c>
      <c r="G58" s="5">
        <v>5.0431196100487297E-2</v>
      </c>
      <c r="H58" s="5">
        <v>3.6872099999999998E-2</v>
      </c>
      <c r="M58" s="83"/>
      <c r="N58" s="83"/>
    </row>
    <row r="59" spans="2:14" ht="15" customHeight="1" x14ac:dyDescent="0.35">
      <c r="B59" s="4">
        <v>45200</v>
      </c>
      <c r="C59" s="5">
        <v>4.8192456435899297E-2</v>
      </c>
      <c r="D59" s="5">
        <v>0.05</v>
      </c>
      <c r="E59" s="6">
        <v>9.1799999999999993E-2</v>
      </c>
      <c r="F59" s="5">
        <v>4.2599999999999999E-2</v>
      </c>
      <c r="G59" s="5">
        <v>4.3437645959832002E-2</v>
      </c>
      <c r="H59" s="5">
        <v>3.2512699999999999E-2</v>
      </c>
      <c r="M59" s="83"/>
      <c r="N59" s="83"/>
    </row>
    <row r="60" spans="2:14" ht="15" customHeight="1" x14ac:dyDescent="0.35">
      <c r="B60" s="4">
        <v>45231</v>
      </c>
      <c r="C60" s="5">
        <v>4.6835370295706703E-2</v>
      </c>
      <c r="D60" s="5">
        <v>4.8000000000000001E-2</v>
      </c>
      <c r="E60" s="6">
        <v>9.1799999999999993E-2</v>
      </c>
      <c r="F60" s="5">
        <v>4.3200000000000002E-2</v>
      </c>
      <c r="G60" s="5">
        <v>3.64312267657994E-2</v>
      </c>
      <c r="H60" s="5">
        <v>3.13335E-2</v>
      </c>
      <c r="M60" s="83"/>
      <c r="N60" s="83"/>
    </row>
    <row r="61" spans="2:14" ht="15" customHeight="1" x14ac:dyDescent="0.35">
      <c r="B61" s="4">
        <v>45261</v>
      </c>
      <c r="C61" s="5">
        <v>4.6211139305667899E-2</v>
      </c>
      <c r="D61" s="5">
        <v>3.9E-2</v>
      </c>
      <c r="E61" s="6">
        <v>9.2799999999999994E-2</v>
      </c>
      <c r="F61" s="5">
        <v>4.6600000000000003E-2</v>
      </c>
      <c r="G61" s="5">
        <v>3.2362161165406599E-2</v>
      </c>
      <c r="H61" s="5">
        <v>3.3159100000000004E-2</v>
      </c>
      <c r="M61" s="83"/>
      <c r="N61" s="83"/>
    </row>
    <row r="62" spans="2:14" ht="15" customHeight="1" x14ac:dyDescent="0.35">
      <c r="B62" s="4">
        <v>45292</v>
      </c>
      <c r="C62" s="5">
        <v>4.5066374306924402E-2</v>
      </c>
      <c r="D62" s="5">
        <v>3.7999999999999999E-2</v>
      </c>
      <c r="E62" s="6">
        <v>6.5099999999999991E-2</v>
      </c>
      <c r="F62" s="5">
        <v>4.8799999999999996E-2</v>
      </c>
      <c r="G62" s="5">
        <v>3.0266789328426798E-2</v>
      </c>
      <c r="H62" s="5">
        <v>3.0883400000000002E-2</v>
      </c>
      <c r="M62" s="83"/>
      <c r="N62" s="83"/>
    </row>
    <row r="63" spans="2:14" ht="15" customHeight="1" x14ac:dyDescent="0.35">
      <c r="B63" s="4">
        <v>45323</v>
      </c>
      <c r="C63" s="5">
        <v>4.49627382126856E-2</v>
      </c>
      <c r="D63" s="5">
        <v>4.4999999999999998E-2</v>
      </c>
      <c r="E63" s="6">
        <v>7.0699999999999999E-2</v>
      </c>
      <c r="F63" s="5">
        <v>4.4000000000000004E-2</v>
      </c>
      <c r="G63" s="5">
        <v>3.30214639515687E-2</v>
      </c>
      <c r="H63" s="5">
        <v>3.15707E-2</v>
      </c>
      <c r="M63" s="83"/>
      <c r="N63" s="83"/>
    </row>
    <row r="64" spans="2:14" ht="15" customHeight="1" x14ac:dyDescent="0.35">
      <c r="B64" s="4">
        <v>45352</v>
      </c>
      <c r="C64" s="5">
        <v>3.9255961268817002E-2</v>
      </c>
      <c r="D64" s="5">
        <v>3.7000000000000005E-2</v>
      </c>
      <c r="E64" s="6">
        <v>7.2700000000000001E-2</v>
      </c>
      <c r="F64" s="5">
        <v>4.4199999999999996E-2</v>
      </c>
      <c r="G64" s="5">
        <v>3.0437539632213E-2</v>
      </c>
      <c r="H64" s="5">
        <v>3.4868299999999998E-2</v>
      </c>
      <c r="M64" s="83"/>
      <c r="N64" s="83"/>
    </row>
    <row r="65" spans="2:14" ht="15" customHeight="1" x14ac:dyDescent="0.35">
      <c r="B65" s="4">
        <v>45383</v>
      </c>
      <c r="C65" s="5">
        <v>3.6880164915653199E-2</v>
      </c>
      <c r="D65" s="5">
        <v>0.04</v>
      </c>
      <c r="E65" s="6">
        <v>7.0000000000000007E-2</v>
      </c>
      <c r="F65" s="5">
        <v>4.6500000000000007E-2</v>
      </c>
      <c r="G65" s="5">
        <v>2.41419691919647E-2</v>
      </c>
      <c r="H65" s="5">
        <v>3.3607999999999999E-2</v>
      </c>
      <c r="M65" s="83"/>
      <c r="N65" s="83"/>
    </row>
    <row r="66" spans="2:14" ht="15" customHeight="1" x14ac:dyDescent="0.35">
      <c r="B66" s="4">
        <v>45413</v>
      </c>
      <c r="C66" s="5">
        <v>3.9259516785658199E-2</v>
      </c>
      <c r="D66" s="5">
        <v>4.0999999999999995E-2</v>
      </c>
      <c r="E66" s="6">
        <v>6.3399999999999998E-2</v>
      </c>
      <c r="F66" s="5">
        <v>4.6900000000000004E-2</v>
      </c>
      <c r="G66" s="5">
        <v>2.0025143678160901E-2</v>
      </c>
      <c r="H66" s="5">
        <v>3.2442800000000001E-2</v>
      </c>
      <c r="M66" s="83"/>
      <c r="N66" s="83"/>
    </row>
    <row r="67" spans="2:14" ht="15" customHeight="1" x14ac:dyDescent="0.35">
      <c r="B67" s="4">
        <v>45444</v>
      </c>
      <c r="C67" s="5">
        <v>4.2275782396825799E-2</v>
      </c>
      <c r="D67" s="5">
        <v>4.2000000000000003E-2</v>
      </c>
      <c r="E67" s="6">
        <v>6.25E-2</v>
      </c>
      <c r="F67" s="5">
        <v>4.9800000000000004E-2</v>
      </c>
      <c r="G67" s="5">
        <v>2.2843780915550001E-2</v>
      </c>
      <c r="H67" s="5">
        <v>2.9702600000000003E-2</v>
      </c>
      <c r="M67" s="83"/>
      <c r="N67" s="83"/>
    </row>
    <row r="68" spans="2:14" ht="15" customHeight="1" x14ac:dyDescent="0.35">
      <c r="B68" s="4">
        <v>45474</v>
      </c>
      <c r="C68" s="5">
        <v>4.4982451428220001E-2</v>
      </c>
      <c r="D68" s="5">
        <v>4.5999999999999999E-2</v>
      </c>
      <c r="E68" s="6">
        <v>6.2899999999999998E-2</v>
      </c>
      <c r="F68" s="5">
        <v>5.57E-2</v>
      </c>
      <c r="G68" s="5">
        <v>2.1322343666009699E-2</v>
      </c>
      <c r="H68" s="5">
        <v>2.9414799999999998E-2</v>
      </c>
      <c r="M68" s="83"/>
      <c r="N68" s="83"/>
    </row>
    <row r="69" spans="2:14" ht="15" customHeight="1" x14ac:dyDescent="0.35">
      <c r="B69" s="4">
        <v>45505</v>
      </c>
      <c r="C69" s="5">
        <v>4.2375990160564897E-2</v>
      </c>
      <c r="D69" s="5">
        <v>4.7E-2</v>
      </c>
      <c r="E69" s="6">
        <v>5.0999999999999997E-2</v>
      </c>
      <c r="F69" s="5">
        <v>4.99E-2</v>
      </c>
      <c r="G69" s="5">
        <v>2.0349875044626702E-2</v>
      </c>
      <c r="H69" s="5">
        <v>2.6071399999999998E-2</v>
      </c>
      <c r="M69" s="83"/>
      <c r="N69" s="83"/>
    </row>
    <row r="70" spans="2:14" ht="15" customHeight="1" x14ac:dyDescent="0.35">
      <c r="B70" s="4">
        <v>45536</v>
      </c>
      <c r="C70" s="5">
        <v>4.4247401273958903E-2</v>
      </c>
      <c r="D70" s="5">
        <v>4.0999999999999995E-2</v>
      </c>
      <c r="E70" s="6">
        <v>5.2400000000000002E-2</v>
      </c>
      <c r="F70" s="5">
        <v>4.58E-2</v>
      </c>
      <c r="G70" s="5">
        <v>1.7758343744422599E-2</v>
      </c>
      <c r="H70" s="5">
        <v>2.4264800000000003E-2</v>
      </c>
      <c r="M70" s="83"/>
      <c r="N70" s="83"/>
    </row>
    <row r="71" spans="2:14" ht="15" customHeight="1" x14ac:dyDescent="0.35">
      <c r="B71" s="4">
        <v>45566</v>
      </c>
      <c r="C71" s="5">
        <v>4.7580992339478601E-2</v>
      </c>
      <c r="D71" s="5">
        <v>4.7E-2</v>
      </c>
      <c r="E71" s="6">
        <v>5.3899999999999997E-2</v>
      </c>
      <c r="F71" s="5">
        <v>4.7599999999999996E-2</v>
      </c>
      <c r="G71" s="5">
        <v>2.00537153088629E-2</v>
      </c>
      <c r="H71" s="5">
        <v>2.57884E-2</v>
      </c>
      <c r="M71" s="83"/>
      <c r="N71" s="83"/>
    </row>
    <row r="72" spans="2:14" ht="15" customHeight="1" x14ac:dyDescent="0.35">
      <c r="B72" s="4">
        <v>45597</v>
      </c>
      <c r="C72" s="5">
        <v>4.8730113890708797E-2</v>
      </c>
      <c r="D72" s="5">
        <v>4.2000000000000003E-2</v>
      </c>
      <c r="E72" s="6">
        <v>5.3600000000000002E-2</v>
      </c>
      <c r="F72" s="5">
        <v>4.5499999999999999E-2</v>
      </c>
      <c r="G72" s="5">
        <v>2.2686513629842201E-2</v>
      </c>
      <c r="H72" s="5">
        <v>2.7194699999999999E-2</v>
      </c>
      <c r="M72" s="83"/>
      <c r="N72" s="83"/>
    </row>
    <row r="73" spans="2:14" ht="15" customHeight="1" x14ac:dyDescent="0.35">
      <c r="B73" s="4">
        <v>45627</v>
      </c>
      <c r="C73" s="5">
        <v>4.8312957918595897E-2</v>
      </c>
      <c r="D73" s="5">
        <v>4.4999999999999998E-2</v>
      </c>
      <c r="E73" s="6">
        <v>5.2000000000000005E-2</v>
      </c>
      <c r="F73" s="5">
        <v>4.2099999999999999E-2</v>
      </c>
      <c r="G73" s="5">
        <v>1.9648120032151401E-2</v>
      </c>
      <c r="H73" s="5">
        <v>2.87069E-2</v>
      </c>
      <c r="M73" s="83"/>
      <c r="N73" s="83"/>
    </row>
    <row r="74" spans="2:14" ht="15" customHeight="1" x14ac:dyDescent="0.35">
      <c r="B74" s="4">
        <v>45658</v>
      </c>
      <c r="C74" s="5">
        <v>4.5598743926773301E-2</v>
      </c>
      <c r="D74" s="5">
        <v>4.9000000000000002E-2</v>
      </c>
      <c r="E74" s="7">
        <v>5.2999999999999999E-2</v>
      </c>
      <c r="F74" s="5">
        <v>3.5900000000000001E-2</v>
      </c>
      <c r="G74" s="5">
        <v>1.8573086882757401E-2</v>
      </c>
      <c r="H74" s="5">
        <v>2.99098E-2</v>
      </c>
      <c r="M74" s="83"/>
      <c r="N74" s="83"/>
    </row>
    <row r="75" spans="2:14" ht="15" customHeight="1" x14ac:dyDescent="0.35">
      <c r="B75" s="4">
        <v>45689</v>
      </c>
      <c r="C75" s="5">
        <v>5.0576304147787597E-2</v>
      </c>
      <c r="D75" s="5">
        <v>4.7E-2</v>
      </c>
      <c r="E75" s="7">
        <v>5.3899999999999997E-2</v>
      </c>
      <c r="F75" s="5">
        <v>3.7699999999999997E-2</v>
      </c>
      <c r="G75" s="5">
        <v>1.47398330669508E-2</v>
      </c>
      <c r="H75" s="5">
        <v>2.80158E-2</v>
      </c>
      <c r="M75" s="83"/>
      <c r="N75" s="83"/>
    </row>
    <row r="76" spans="2:14" ht="15" customHeight="1" x14ac:dyDescent="0.35">
      <c r="B76" s="4">
        <v>45717</v>
      </c>
      <c r="C76" s="5">
        <v>5.4771896416748497E-2</v>
      </c>
      <c r="D76" s="5">
        <v>4.9000000000000002E-2</v>
      </c>
      <c r="E76" s="7">
        <v>5.3899999999999997E-2</v>
      </c>
      <c r="F76" s="5">
        <v>3.7999999999999999E-2</v>
      </c>
      <c r="G76" s="5">
        <v>1.28351648351648E-2</v>
      </c>
      <c r="H76" s="5">
        <v>2.3819799999999999E-2</v>
      </c>
      <c r="M76" s="83"/>
      <c r="N76" s="83"/>
    </row>
    <row r="77" spans="2:14" ht="15" customHeight="1" x14ac:dyDescent="0.35">
      <c r="B77" s="4">
        <v>45748</v>
      </c>
      <c r="C77" s="5">
        <v>5.5297285884977398E-2</v>
      </c>
      <c r="D77" s="5">
        <v>4.4999999999999998E-2</v>
      </c>
      <c r="E77" s="7">
        <v>5.2900000000000003E-2</v>
      </c>
      <c r="F77" s="5">
        <v>3.9300000000000002E-2</v>
      </c>
      <c r="G77" s="5">
        <v>1.65361949159997E-2</v>
      </c>
      <c r="H77" s="5">
        <v>2.3253900000000001E-2</v>
      </c>
      <c r="M77" s="83"/>
      <c r="N77" s="83"/>
    </row>
    <row r="78" spans="2:14" ht="15" customHeight="1" x14ac:dyDescent="0.35">
      <c r="B78" s="4">
        <v>45778</v>
      </c>
      <c r="C78" s="5">
        <v>5.3196355592552799E-2</v>
      </c>
      <c r="D78" s="5">
        <v>4.4000000000000004E-2</v>
      </c>
      <c r="E78" s="7">
        <v>5.1699999999999996E-2</v>
      </c>
      <c r="F78" s="5">
        <v>4.4199999999999996E-2</v>
      </c>
      <c r="G78" s="5">
        <v>1.6902896381723698E-2</v>
      </c>
      <c r="H78" s="5">
        <v>2.3772700000000001E-2</v>
      </c>
      <c r="M78" s="83"/>
      <c r="N78" s="83"/>
    </row>
    <row r="79" spans="2:14" ht="15" customHeight="1" x14ac:dyDescent="0.35">
      <c r="B79" s="4">
        <v>45809</v>
      </c>
      <c r="C79" s="5">
        <v>5.3511652375985097E-2</v>
      </c>
      <c r="D79" s="5">
        <v>4.0999999999999995E-2</v>
      </c>
      <c r="E79" s="7">
        <v>5.2000000000000005E-2</v>
      </c>
      <c r="F79" s="5">
        <v>4.3200000000000002E-2</v>
      </c>
      <c r="G79" s="5">
        <v>1.69700167062341E-2</v>
      </c>
      <c r="H79" s="5">
        <v>2.6804499999999998E-2</v>
      </c>
      <c r="M79" s="83"/>
      <c r="N79" s="83"/>
    </row>
    <row r="80" spans="2:14" ht="15" customHeight="1" x14ac:dyDescent="0.35">
      <c r="B80" s="4">
        <v>45839</v>
      </c>
      <c r="C80" s="5">
        <v>5.2252224220126202E-2</v>
      </c>
      <c r="D80" s="5">
        <v>4.2999999999999997E-2</v>
      </c>
      <c r="E80" s="7">
        <v>5.1900000000000002E-2</v>
      </c>
      <c r="F80" s="5">
        <v>3.5099999999999999E-2</v>
      </c>
      <c r="G80" s="5">
        <v>1.6842105263157998E-2</v>
      </c>
      <c r="H80" s="5">
        <v>2.7426200000000001E-2</v>
      </c>
      <c r="M80" s="83"/>
      <c r="N80" s="83"/>
    </row>
    <row r="81" spans="2:14" ht="15" customHeight="1" x14ac:dyDescent="0.35">
      <c r="B81" s="4">
        <v>45870</v>
      </c>
      <c r="C81" s="5">
        <v>5.1305007775039199E-2</v>
      </c>
      <c r="D81" s="5">
        <v>0.04</v>
      </c>
      <c r="E81" s="7">
        <v>5.1100000000000007E-2</v>
      </c>
      <c r="F81" s="5">
        <v>3.5699999999999996E-2</v>
      </c>
      <c r="G81" s="5">
        <v>1.1109167249825099E-2</v>
      </c>
      <c r="H81" s="5">
        <v>2.93859E-2</v>
      </c>
      <c r="M81" s="83"/>
      <c r="N81" s="83"/>
    </row>
    <row r="82" spans="2:14" ht="15" customHeight="1" x14ac:dyDescent="0.35">
      <c r="B82" s="4">
        <v>45901</v>
      </c>
      <c r="C82" s="5">
        <v>5.1723687586976402E-2</v>
      </c>
      <c r="D82" s="5">
        <v>4.4000000000000004E-2</v>
      </c>
      <c r="E82" s="7">
        <v>5.0700000000000002E-2</v>
      </c>
      <c r="F82" s="5">
        <v>3.7599999999999995E-2</v>
      </c>
      <c r="G82" s="5">
        <v>1.35905304690924E-2</v>
      </c>
      <c r="H82" s="5">
        <v>3.0225700000000001E-2</v>
      </c>
      <c r="M82" s="83"/>
      <c r="N82" s="83"/>
    </row>
    <row r="83" spans="2:14" ht="15" customHeight="1" x14ac:dyDescent="0.35">
      <c r="B83" s="4">
        <v>45931</v>
      </c>
      <c r="C83" s="5">
        <v>4.6808113470370602E-2</v>
      </c>
      <c r="D83" s="5">
        <v>3.4000000000000002E-2</v>
      </c>
      <c r="E83" s="7">
        <v>5.0799999999999998E-2</v>
      </c>
      <c r="F83" s="5">
        <v>3.5699999999999996E-2</v>
      </c>
      <c r="G83" s="5">
        <v>1.35158855538002E-2</v>
      </c>
      <c r="H83" s="5">
        <v>3.0225700000000001E-2</v>
      </c>
      <c r="M83" s="83"/>
      <c r="N83" s="83"/>
    </row>
    <row r="84" spans="2:14" ht="15" customHeight="1" x14ac:dyDescent="0.35">
      <c r="B84" s="4">
        <v>45962</v>
      </c>
      <c r="C84" s="5">
        <v>4.4618356484328298E-2</v>
      </c>
      <c r="D84" s="5">
        <v>3.4000000000000002E-2</v>
      </c>
      <c r="E84" s="7">
        <v>5.0999999999999997E-2</v>
      </c>
      <c r="F84" s="5">
        <v>3.7999999999999999E-2</v>
      </c>
      <c r="G84" s="5">
        <v>1.36782113108287E-2</v>
      </c>
      <c r="H84" s="5">
        <v>2.6964399999999999E-2</v>
      </c>
      <c r="M84" s="83"/>
      <c r="N84" s="83"/>
    </row>
    <row r="85" spans="2:14" ht="15" customHeight="1" x14ac:dyDescent="0.35">
      <c r="B85" s="4">
        <v>45992</v>
      </c>
      <c r="C85" s="5">
        <v>4.2643849045689498E-2</v>
      </c>
      <c r="D85" s="5">
        <v>3.5000000000000003E-2</v>
      </c>
      <c r="E85" s="7">
        <v>5.0999999999999997E-2</v>
      </c>
      <c r="F85" s="5">
        <v>3.6900000000000002E-2</v>
      </c>
      <c r="G85" s="5">
        <v>1.5065253569238801E-2</v>
      </c>
      <c r="H85" s="5">
        <v>2.6533000000000001E-2</v>
      </c>
      <c r="M85" s="83"/>
      <c r="N85" s="83"/>
    </row>
    <row r="86" spans="2:14" ht="15" customHeight="1" x14ac:dyDescent="0.35">
      <c r="B86" s="4">
        <v>46023</v>
      </c>
      <c r="C86" s="5">
        <v>4.4413512128134602E-2</v>
      </c>
      <c r="D86" s="5">
        <v>2.7999999999999997E-2</v>
      </c>
      <c r="E86" s="8">
        <v>5.04E-2</v>
      </c>
      <c r="F86" s="5">
        <v>3.7900000000000003E-2</v>
      </c>
      <c r="G86" s="5">
        <v>1.7007100902954399E-2</v>
      </c>
      <c r="H86" s="5">
        <v>2.3911999999999999E-2</v>
      </c>
      <c r="M86" s="83"/>
      <c r="N86" s="83"/>
    </row>
    <row r="87" spans="2:14" ht="15" customHeight="1" x14ac:dyDescent="0.35">
      <c r="B87" s="4">
        <v>46054</v>
      </c>
      <c r="C87" s="5">
        <v>3.8124969611125901E-2</v>
      </c>
      <c r="D87" s="5">
        <v>2.4E-2</v>
      </c>
      <c r="E87" s="8">
        <v>5.2900000000000003E-2</v>
      </c>
      <c r="F87" s="5">
        <v>4.0199999999999993E-2</v>
      </c>
      <c r="G87" s="5">
        <v>2.2138606930346399E-2</v>
      </c>
      <c r="H87" s="5">
        <v>2.4340000000000001E-2</v>
      </c>
      <c r="M87" s="83"/>
      <c r="N87" s="83"/>
    </row>
    <row r="88" spans="2:14" ht="15" customHeight="1" x14ac:dyDescent="0.35">
      <c r="B88" s="4">
        <v>46082</v>
      </c>
      <c r="C88" s="5">
        <v>4.1428469912195599E-2</v>
      </c>
      <c r="D88" s="5">
        <v>2.7999999999999997E-2</v>
      </c>
      <c r="E88" s="8">
        <v>5.5599999999999997E-2</v>
      </c>
      <c r="F88" s="5">
        <v>4.5899999999999996E-2</v>
      </c>
      <c r="G88" s="5">
        <v>3.8017533200243002E-2</v>
      </c>
      <c r="H88" s="5">
        <v>3.2859600000000003E-2</v>
      </c>
      <c r="M88" s="83"/>
      <c r="N88" s="83"/>
    </row>
    <row r="89" spans="2:14" ht="15" customHeight="1" x14ac:dyDescent="0.35">
      <c r="B89" s="4">
        <v>46113</v>
      </c>
      <c r="C89" s="8"/>
      <c r="D89" s="8"/>
      <c r="E89" s="8"/>
      <c r="F89" s="8"/>
      <c r="G89" s="8"/>
      <c r="H89" s="5">
        <v>3.77925E-2</v>
      </c>
      <c r="M89" s="83"/>
      <c r="N89" s="83"/>
    </row>
    <row r="90" spans="2:14" ht="15" customHeight="1" x14ac:dyDescent="0.35">
      <c r="B90" s="4">
        <f>EOMONTH(B89,1)</f>
        <v>46173</v>
      </c>
      <c r="C90" s="8"/>
      <c r="D90" s="8"/>
      <c r="E90" s="8"/>
      <c r="F90" s="8"/>
      <c r="G90" s="8"/>
      <c r="H90" s="5">
        <v>4.1666100000000005E-2</v>
      </c>
      <c r="M90" s="83"/>
      <c r="N90" s="83"/>
    </row>
    <row r="91" spans="2:14" x14ac:dyDescent="0.35">
      <c r="B91" s="4">
        <f t="shared" ref="B91:B94" si="15">EOMONTH(B90,1)</f>
        <v>46203</v>
      </c>
      <c r="H91" s="5">
        <v>3.4635300000000001E-2</v>
      </c>
    </row>
    <row r="92" spans="2:14" ht="15" customHeight="1" x14ac:dyDescent="0.35">
      <c r="B92" s="4">
        <f t="shared" si="15"/>
        <v>46234</v>
      </c>
      <c r="H92" s="5">
        <v>3.3038600000000001E-2</v>
      </c>
    </row>
    <row r="93" spans="2:14" ht="15" customHeight="1" x14ac:dyDescent="0.35">
      <c r="B93" s="4">
        <f t="shared" si="15"/>
        <v>46265</v>
      </c>
      <c r="H93" s="5">
        <v>3.4000000000000002E-2</v>
      </c>
    </row>
    <row r="94" spans="2:14" x14ac:dyDescent="0.35">
      <c r="B94" s="4">
        <f t="shared" si="15"/>
        <v>46295</v>
      </c>
      <c r="H94" s="5">
        <v>3.6999999999999998E-2</v>
      </c>
    </row>
    <row r="97" spans="2:7" x14ac:dyDescent="0.35">
      <c r="B97" s="2" t="s">
        <v>80</v>
      </c>
      <c r="C97" s="37" t="s">
        <v>112</v>
      </c>
      <c r="D97" s="37"/>
      <c r="E97" s="37"/>
      <c r="F97" s="37"/>
      <c r="G97" s="37"/>
    </row>
    <row r="98" spans="2:7" x14ac:dyDescent="0.35">
      <c r="B98" s="2" t="s">
        <v>82</v>
      </c>
      <c r="C98" s="38" t="s">
        <v>113</v>
      </c>
      <c r="D98" s="38"/>
      <c r="E98" s="38"/>
      <c r="F98" s="38"/>
      <c r="G98" s="38"/>
    </row>
    <row r="99" spans="2:7" x14ac:dyDescent="0.35">
      <c r="B99" s="85" t="s">
        <v>244</v>
      </c>
      <c r="C99" s="14" t="s">
        <v>245</v>
      </c>
    </row>
    <row r="100" spans="2:7" x14ac:dyDescent="0.35">
      <c r="B100" s="85" t="s">
        <v>246</v>
      </c>
      <c r="C100" s="14" t="s">
        <v>171</v>
      </c>
    </row>
    <row r="101" spans="2:7" x14ac:dyDescent="0.35">
      <c r="C101" s="14"/>
    </row>
  </sheetData>
  <mergeCells count="2">
    <mergeCell ref="C97:G97"/>
    <mergeCell ref="C98:G98"/>
  </mergeCells>
  <conditionalFormatting sqref="C7:G21">
    <cfRule type="colorScale" priority="6">
      <colorScale>
        <cfvo type="num" val="-0.06"/>
        <cfvo type="num" val="0"/>
        <cfvo type="num" val="0.06"/>
        <color rgb="FFF8696B"/>
        <color rgb="FFFFFFFF"/>
        <color rgb="FF63BE7B"/>
      </colorScale>
    </cfRule>
  </conditionalFormatting>
  <conditionalFormatting sqref="C7:G22">
    <cfRule type="colorScale" priority="4">
      <colorScale>
        <cfvo type="min"/>
        <cfvo type="max"/>
        <color rgb="FFFCFCFF"/>
        <color rgb="FFF8696B"/>
      </colorScale>
    </cfRule>
  </conditionalFormatting>
  <conditionalFormatting sqref="H7:H21">
    <cfRule type="colorScale" priority="3">
      <colorScale>
        <cfvo type="num" val="-0.06"/>
        <cfvo type="num" val="0"/>
        <cfvo type="num" val="0.06"/>
        <color rgb="FFF8696B"/>
        <color rgb="FFFFFFFF"/>
        <color rgb="FF63BE7B"/>
      </colorScale>
    </cfRule>
  </conditionalFormatting>
  <conditionalFormatting sqref="H7:H21">
    <cfRule type="colorScale" priority="2">
      <colorScale>
        <cfvo type="min"/>
        <cfvo type="max"/>
        <color rgb="FFFCFCFF"/>
        <color rgb="FFF8696B"/>
      </colorScale>
    </cfRule>
  </conditionalFormatting>
  <conditionalFormatting sqref="H22">
    <cfRule type="colorScale" priority="1">
      <colorScale>
        <cfvo type="min"/>
        <cfvo type="max"/>
        <color rgb="FFFCFCFF"/>
        <color rgb="FFF8696B"/>
      </colorScale>
    </cfRule>
  </conditionalFormatting>
  <hyperlinks>
    <hyperlink ref="C99" r:id="rId1" display="https://www.bls.gov/charts/consumer-price-index/consumer-price-index-by-category-line-chart.htm" xr:uid="{7154C8F1-1B7F-47EE-919A-91ACCAD43546}"/>
    <hyperlink ref="C100" r:id="rId2" xr:uid="{8105664F-363F-470C-AED3-758EDA889CED}"/>
  </hyperlinks>
  <printOptions horizontalCentered="1"/>
  <pageMargins left="0.4" right="0.4" top="0.5" bottom="0.5" header="0.511811023622047" footer="0.511811023622047"/>
  <pageSetup paperSize="9" fitToHeight="0" orientation="landscape" horizontalDpi="300" verticalDpi="30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F78"/>
  <sheetViews>
    <sheetView showGridLines="0" zoomScaleNormal="100" workbookViewId="0">
      <selection activeCell="B9" sqref="B9"/>
    </sheetView>
  </sheetViews>
  <sheetFormatPr baseColWidth="10" defaultColWidth="8.7265625" defaultRowHeight="14.5" x14ac:dyDescent="0.35"/>
  <cols>
    <col min="1" max="1" width="3" customWidth="1"/>
    <col min="2" max="2" width="12" customWidth="1"/>
    <col min="3" max="6" width="17" customWidth="1"/>
  </cols>
  <sheetData>
    <row r="2" spans="2:6" ht="19.5" customHeight="1" x14ac:dyDescent="0.4">
      <c r="B2" s="62" t="s">
        <v>114</v>
      </c>
    </row>
    <row r="3" spans="2:6" ht="15" customHeight="1" x14ac:dyDescent="0.35">
      <c r="B3" s="1" t="s">
        <v>115</v>
      </c>
    </row>
    <row r="5" spans="2:6" ht="15" customHeight="1" x14ac:dyDescent="0.35">
      <c r="B5" s="63" t="s">
        <v>116</v>
      </c>
    </row>
    <row r="6" spans="2:6" ht="15" customHeight="1" x14ac:dyDescent="0.35">
      <c r="B6" s="61" t="s">
        <v>79</v>
      </c>
      <c r="C6" s="61" t="s">
        <v>117</v>
      </c>
      <c r="D6" s="61" t="s">
        <v>118</v>
      </c>
      <c r="E6" s="61" t="s">
        <v>119</v>
      </c>
      <c r="F6" s="61" t="s">
        <v>120</v>
      </c>
    </row>
    <row r="7" spans="2:6" ht="15" customHeight="1" x14ac:dyDescent="0.35">
      <c r="B7" s="4">
        <v>44197</v>
      </c>
      <c r="C7" s="6">
        <v>-7.0000000000000007E-2</v>
      </c>
      <c r="D7" s="3"/>
      <c r="E7" s="3"/>
      <c r="F7" s="3"/>
    </row>
    <row r="8" spans="2:6" ht="15" customHeight="1" x14ac:dyDescent="0.35">
      <c r="B8" s="4">
        <v>44228</v>
      </c>
      <c r="C8" s="6">
        <v>-0.08</v>
      </c>
      <c r="D8" s="3"/>
      <c r="E8" s="3"/>
      <c r="F8" s="3"/>
    </row>
    <row r="9" spans="2:6" ht="15" customHeight="1" x14ac:dyDescent="0.35">
      <c r="B9" s="4">
        <v>44256</v>
      </c>
      <c r="C9" s="6">
        <v>0.06</v>
      </c>
      <c r="D9" s="3"/>
      <c r="E9" s="3"/>
      <c r="F9" s="3"/>
    </row>
    <row r="10" spans="2:6" ht="15" customHeight="1" x14ac:dyDescent="0.35">
      <c r="B10" s="4">
        <v>44287</v>
      </c>
      <c r="C10" s="6">
        <v>0.47</v>
      </c>
      <c r="D10" s="3"/>
      <c r="E10" s="3"/>
      <c r="F10" s="3"/>
    </row>
    <row r="11" spans="2:6" ht="15" customHeight="1" x14ac:dyDescent="0.35">
      <c r="B11" s="4">
        <v>44317</v>
      </c>
      <c r="C11" s="6">
        <v>0.27</v>
      </c>
      <c r="D11" s="3"/>
      <c r="E11" s="3"/>
      <c r="F11" s="3"/>
    </row>
    <row r="12" spans="2:6" ht="15" customHeight="1" x14ac:dyDescent="0.35">
      <c r="B12" s="4">
        <v>44348</v>
      </c>
      <c r="C12" s="6">
        <v>0.21</v>
      </c>
      <c r="D12" s="3"/>
      <c r="E12" s="3"/>
      <c r="F12" s="3"/>
    </row>
    <row r="13" spans="2:6" ht="15" customHeight="1" x14ac:dyDescent="0.35">
      <c r="B13" s="4">
        <v>44378</v>
      </c>
      <c r="C13" s="6">
        <v>0.15</v>
      </c>
      <c r="D13" s="3"/>
      <c r="E13" s="3"/>
      <c r="F13" s="3"/>
    </row>
    <row r="14" spans="2:6" ht="15" customHeight="1" x14ac:dyDescent="0.35">
      <c r="B14" s="4">
        <v>44409</v>
      </c>
      <c r="C14" s="6">
        <v>0.05</v>
      </c>
      <c r="D14" s="3"/>
      <c r="E14" s="3"/>
      <c r="F14" s="3"/>
    </row>
    <row r="15" spans="2:6" ht="15" customHeight="1" x14ac:dyDescent="0.35">
      <c r="B15" s="4">
        <v>44440</v>
      </c>
      <c r="C15" s="6">
        <v>0.11</v>
      </c>
      <c r="D15" s="3"/>
      <c r="E15" s="3"/>
      <c r="F15" s="3"/>
    </row>
    <row r="16" spans="2:6" ht="15" customHeight="1" x14ac:dyDescent="0.35">
      <c r="B16" s="4">
        <v>44470</v>
      </c>
      <c r="C16" s="6">
        <v>0.11</v>
      </c>
      <c r="D16" s="3"/>
      <c r="E16" s="3"/>
      <c r="F16" s="3"/>
    </row>
    <row r="17" spans="2:6" ht="15" customHeight="1" x14ac:dyDescent="0.35">
      <c r="B17" s="4">
        <v>44501</v>
      </c>
      <c r="C17" s="6">
        <v>0.09</v>
      </c>
      <c r="D17" s="3"/>
      <c r="E17" s="3"/>
      <c r="F17" s="3"/>
    </row>
    <row r="18" spans="2:6" ht="15" customHeight="1" x14ac:dyDescent="0.35">
      <c r="B18" s="4">
        <v>44531</v>
      </c>
      <c r="C18" s="6">
        <v>0.12</v>
      </c>
      <c r="D18" s="3"/>
      <c r="E18" s="3"/>
      <c r="F18" s="3"/>
    </row>
    <row r="19" spans="2:6" ht="15" customHeight="1" x14ac:dyDescent="0.35">
      <c r="B19" s="4">
        <v>44562</v>
      </c>
      <c r="C19" s="6">
        <v>0.21</v>
      </c>
      <c r="D19" s="3"/>
      <c r="E19" s="3"/>
      <c r="F19" s="3"/>
    </row>
    <row r="20" spans="2:6" ht="15" customHeight="1" x14ac:dyDescent="0.35">
      <c r="B20" s="4">
        <v>44593</v>
      </c>
      <c r="C20" s="6">
        <v>0.11</v>
      </c>
      <c r="D20" s="3"/>
      <c r="E20" s="3"/>
      <c r="F20" s="3"/>
    </row>
    <row r="21" spans="2:6" ht="15" customHeight="1" x14ac:dyDescent="0.35">
      <c r="B21" s="4">
        <v>44621</v>
      </c>
      <c r="C21" s="6">
        <v>0.09</v>
      </c>
      <c r="D21" s="3"/>
      <c r="E21" s="3"/>
      <c r="F21" s="3"/>
    </row>
    <row r="22" spans="2:6" ht="15" customHeight="1" x14ac:dyDescent="0.35">
      <c r="B22" s="4">
        <v>44652</v>
      </c>
      <c r="C22" s="6">
        <v>0.14000000000000001</v>
      </c>
      <c r="D22" s="3"/>
      <c r="E22" s="3"/>
      <c r="F22" s="3"/>
    </row>
    <row r="23" spans="2:6" ht="15" customHeight="1" x14ac:dyDescent="0.35">
      <c r="B23" s="4">
        <v>44682</v>
      </c>
      <c r="C23" s="6">
        <v>0.11</v>
      </c>
      <c r="D23" s="3"/>
      <c r="E23" s="3"/>
      <c r="F23" s="3"/>
    </row>
    <row r="24" spans="2:6" ht="15" customHeight="1" x14ac:dyDescent="0.35">
      <c r="B24" s="4">
        <v>44713</v>
      </c>
      <c r="C24" s="6">
        <v>0.08</v>
      </c>
      <c r="D24" s="3"/>
      <c r="E24" s="3"/>
      <c r="F24" s="3"/>
    </row>
    <row r="25" spans="2:6" ht="15" customHeight="1" x14ac:dyDescent="0.35">
      <c r="B25" s="4">
        <v>44743</v>
      </c>
      <c r="C25" s="6">
        <v>0.12</v>
      </c>
      <c r="D25" s="3"/>
      <c r="E25" s="3"/>
      <c r="F25" s="3"/>
    </row>
    <row r="26" spans="2:6" ht="15" customHeight="1" x14ac:dyDescent="0.35">
      <c r="B26" s="4">
        <v>44774</v>
      </c>
      <c r="C26" s="6">
        <v>0.12</v>
      </c>
      <c r="D26" s="3"/>
      <c r="E26" s="3"/>
      <c r="F26" s="3"/>
    </row>
    <row r="27" spans="2:6" ht="15" customHeight="1" x14ac:dyDescent="0.35">
      <c r="B27" s="4">
        <v>44805</v>
      </c>
      <c r="C27" s="6">
        <v>0.08</v>
      </c>
      <c r="D27" s="3"/>
      <c r="E27" s="3"/>
      <c r="F27" s="3"/>
    </row>
    <row r="28" spans="2:6" ht="15" customHeight="1" x14ac:dyDescent="0.35">
      <c r="B28" s="4">
        <v>44835</v>
      </c>
      <c r="C28" s="6">
        <v>0.1</v>
      </c>
      <c r="D28" s="3"/>
      <c r="E28" s="3"/>
      <c r="F28" s="3"/>
    </row>
    <row r="29" spans="2:6" ht="15" customHeight="1" x14ac:dyDescent="0.35">
      <c r="B29" s="4">
        <v>44866</v>
      </c>
      <c r="C29" s="6">
        <v>0.06</v>
      </c>
      <c r="D29" s="3"/>
      <c r="E29" s="3"/>
      <c r="F29" s="3"/>
    </row>
    <row r="30" spans="2:6" ht="15" customHeight="1" x14ac:dyDescent="0.35">
      <c r="B30" s="4">
        <v>44896</v>
      </c>
      <c r="C30" s="6">
        <v>0.1</v>
      </c>
      <c r="D30" s="3"/>
      <c r="E30" s="3"/>
      <c r="F30" s="3"/>
    </row>
    <row r="31" spans="2:6" ht="15" customHeight="1" x14ac:dyDescent="0.35">
      <c r="B31" s="4">
        <v>44927</v>
      </c>
      <c r="C31" s="6">
        <v>0.11</v>
      </c>
      <c r="D31" s="3"/>
      <c r="E31" s="3"/>
      <c r="F31" s="3"/>
    </row>
    <row r="32" spans="2:6" ht="15" customHeight="1" x14ac:dyDescent="0.35">
      <c r="B32" s="4">
        <v>44958</v>
      </c>
      <c r="C32" s="6">
        <v>7.0000000000000007E-2</v>
      </c>
      <c r="D32" s="3"/>
      <c r="E32" s="3"/>
      <c r="F32" s="3"/>
    </row>
    <row r="33" spans="2:6" ht="15" customHeight="1" x14ac:dyDescent="0.35">
      <c r="B33" s="4">
        <v>44986</v>
      </c>
      <c r="C33" s="6">
        <v>0.04</v>
      </c>
      <c r="D33" s="3"/>
      <c r="E33" s="3"/>
      <c r="F33" s="3"/>
    </row>
    <row r="34" spans="2:6" ht="15" customHeight="1" x14ac:dyDescent="0.35">
      <c r="B34" s="4">
        <v>45017</v>
      </c>
      <c r="C34" s="6">
        <v>0.01</v>
      </c>
      <c r="D34" s="3"/>
      <c r="E34" s="3"/>
      <c r="F34" s="3"/>
    </row>
    <row r="35" spans="2:6" ht="15" customHeight="1" x14ac:dyDescent="0.35">
      <c r="B35" s="4">
        <v>45047</v>
      </c>
      <c r="C35" s="6">
        <v>0.06</v>
      </c>
      <c r="D35" s="3"/>
      <c r="E35" s="3"/>
      <c r="F35" s="3"/>
    </row>
    <row r="36" spans="2:6" ht="15" customHeight="1" x14ac:dyDescent="0.35">
      <c r="B36" s="4">
        <v>45078</v>
      </c>
      <c r="C36" s="6">
        <v>0.05</v>
      </c>
      <c r="D36" s="3"/>
      <c r="E36" s="3"/>
      <c r="F36" s="3"/>
    </row>
    <row r="37" spans="2:6" ht="15" customHeight="1" x14ac:dyDescent="0.35">
      <c r="B37" s="4">
        <v>45108</v>
      </c>
      <c r="C37" s="6">
        <v>0.09</v>
      </c>
      <c r="D37" s="3"/>
      <c r="E37" s="3"/>
      <c r="F37" s="3"/>
    </row>
    <row r="38" spans="2:6" ht="15" customHeight="1" x14ac:dyDescent="0.35">
      <c r="B38" s="4">
        <v>45139</v>
      </c>
      <c r="C38" s="6">
        <v>0.03</v>
      </c>
      <c r="D38" s="3"/>
      <c r="E38" s="3"/>
      <c r="F38" s="3"/>
    </row>
    <row r="39" spans="2:6" ht="15" customHeight="1" x14ac:dyDescent="0.35">
      <c r="B39" s="4">
        <v>45170</v>
      </c>
      <c r="C39" s="6">
        <v>0.05</v>
      </c>
      <c r="D39" s="3"/>
      <c r="E39" s="3"/>
      <c r="F39" s="3"/>
    </row>
    <row r="40" spans="2:6" ht="15" customHeight="1" x14ac:dyDescent="0.35">
      <c r="B40" s="4">
        <v>45200</v>
      </c>
      <c r="C40" s="6">
        <v>0.04</v>
      </c>
      <c r="D40" s="3"/>
      <c r="E40" s="3"/>
      <c r="F40" s="3"/>
    </row>
    <row r="41" spans="2:6" ht="15" customHeight="1" x14ac:dyDescent="0.35">
      <c r="B41" s="4">
        <v>45231</v>
      </c>
      <c r="C41" s="6">
        <v>0.05</v>
      </c>
      <c r="D41" s="3"/>
      <c r="E41" s="3"/>
      <c r="F41" s="3"/>
    </row>
    <row r="42" spans="2:6" ht="15" customHeight="1" x14ac:dyDescent="0.35">
      <c r="B42" s="4">
        <v>45261</v>
      </c>
      <c r="C42" s="6">
        <v>0.03</v>
      </c>
      <c r="D42" s="3"/>
      <c r="E42" s="3"/>
      <c r="F42" s="3"/>
    </row>
    <row r="43" spans="2:6" ht="15" customHeight="1" x14ac:dyDescent="0.35">
      <c r="B43" s="4">
        <v>45292</v>
      </c>
      <c r="C43" s="6">
        <v>0.05</v>
      </c>
      <c r="D43" s="3"/>
      <c r="E43" s="3"/>
      <c r="F43" s="3"/>
    </row>
    <row r="44" spans="2:6" ht="15" customHeight="1" x14ac:dyDescent="0.35">
      <c r="B44" s="4">
        <v>45323</v>
      </c>
      <c r="C44" s="6">
        <v>0.09</v>
      </c>
      <c r="D44" s="3"/>
      <c r="E44" s="3"/>
      <c r="F44" s="3"/>
    </row>
    <row r="45" spans="2:6" ht="15" customHeight="1" x14ac:dyDescent="0.35">
      <c r="B45" s="4">
        <v>45352</v>
      </c>
      <c r="C45" s="6">
        <v>0.01</v>
      </c>
      <c r="D45" s="3"/>
      <c r="E45" s="3"/>
      <c r="F45" s="3"/>
    </row>
    <row r="46" spans="2:6" ht="15" customHeight="1" x14ac:dyDescent="0.35">
      <c r="B46" s="4">
        <v>45383</v>
      </c>
      <c r="C46" s="6">
        <v>5.0000000000000001E-3</v>
      </c>
      <c r="D46" s="3"/>
      <c r="E46" s="3"/>
      <c r="F46" s="3"/>
    </row>
    <row r="47" spans="2:6" ht="15" customHeight="1" x14ac:dyDescent="0.35">
      <c r="B47" s="4">
        <v>45413</v>
      </c>
      <c r="C47" s="6">
        <v>0.04</v>
      </c>
      <c r="D47" s="3"/>
      <c r="E47" s="3"/>
      <c r="F47" s="3"/>
    </row>
    <row r="48" spans="2:6" ht="15" customHeight="1" x14ac:dyDescent="0.35">
      <c r="B48" s="4">
        <v>45444</v>
      </c>
      <c r="C48" s="6">
        <v>0.08</v>
      </c>
      <c r="D48" s="3"/>
      <c r="E48" s="3"/>
      <c r="F48" s="3"/>
    </row>
    <row r="49" spans="2:6" ht="15" customHeight="1" x14ac:dyDescent="0.35">
      <c r="B49" s="4">
        <v>45474</v>
      </c>
      <c r="C49" s="6">
        <v>0.05</v>
      </c>
      <c r="D49" s="3"/>
      <c r="E49" s="3"/>
      <c r="F49" s="3"/>
    </row>
    <row r="50" spans="2:6" ht="15" customHeight="1" x14ac:dyDescent="0.35">
      <c r="B50" s="4">
        <v>45505</v>
      </c>
      <c r="C50" s="6">
        <v>0.04</v>
      </c>
      <c r="D50" s="3"/>
      <c r="E50" s="3"/>
      <c r="F50" s="3"/>
    </row>
    <row r="51" spans="2:6" ht="15" customHeight="1" x14ac:dyDescent="0.35">
      <c r="B51" s="4">
        <v>45536</v>
      </c>
      <c r="C51" s="6">
        <v>0.02</v>
      </c>
      <c r="D51" s="3"/>
      <c r="E51" s="3"/>
      <c r="F51" s="3"/>
    </row>
    <row r="52" spans="2:6" ht="15" customHeight="1" x14ac:dyDescent="0.35">
      <c r="B52" s="4">
        <v>45566</v>
      </c>
      <c r="C52" s="6">
        <v>0.02</v>
      </c>
      <c r="D52" s="3"/>
      <c r="E52" s="3"/>
      <c r="F52" s="3"/>
    </row>
    <row r="53" spans="2:6" ht="15" customHeight="1" x14ac:dyDescent="0.35">
      <c r="B53" s="4">
        <v>45597</v>
      </c>
      <c r="C53" s="6">
        <v>0.04</v>
      </c>
      <c r="D53" s="3"/>
      <c r="E53" s="3"/>
      <c r="F53" s="3"/>
    </row>
    <row r="54" spans="2:6" ht="15" customHeight="1" x14ac:dyDescent="0.35">
      <c r="B54" s="4">
        <v>45627</v>
      </c>
      <c r="C54" s="6">
        <v>0.01</v>
      </c>
      <c r="D54" s="3"/>
      <c r="E54" s="3"/>
      <c r="F54" s="3"/>
    </row>
    <row r="55" spans="2:6" ht="15" customHeight="1" x14ac:dyDescent="0.35">
      <c r="B55" s="4">
        <v>45658</v>
      </c>
      <c r="C55" s="6">
        <v>0.01</v>
      </c>
      <c r="D55" s="3"/>
      <c r="E55" s="3"/>
      <c r="F55" s="3"/>
    </row>
    <row r="56" spans="2:6" ht="15" customHeight="1" x14ac:dyDescent="0.35">
      <c r="B56" s="4">
        <v>45689</v>
      </c>
      <c r="C56" s="6">
        <v>-0.02</v>
      </c>
      <c r="D56" s="3"/>
      <c r="E56" s="3"/>
      <c r="F56" s="3"/>
    </row>
    <row r="57" spans="2:6" ht="15" customHeight="1" x14ac:dyDescent="0.35">
      <c r="B57" s="4">
        <v>45717</v>
      </c>
      <c r="C57" s="6">
        <v>0.03</v>
      </c>
      <c r="D57" s="3"/>
      <c r="E57" s="3"/>
      <c r="F57" s="3"/>
    </row>
    <row r="58" spans="2:6" ht="15" customHeight="1" x14ac:dyDescent="0.35">
      <c r="B58" s="4">
        <v>45748</v>
      </c>
      <c r="C58" s="6">
        <v>0.1</v>
      </c>
      <c r="D58" s="3"/>
      <c r="E58" s="3"/>
      <c r="F58" s="3"/>
    </row>
    <row r="59" spans="2:6" ht="15" customHeight="1" x14ac:dyDescent="0.35">
      <c r="B59" s="4">
        <v>45778</v>
      </c>
      <c r="C59" s="6">
        <v>0.04</v>
      </c>
      <c r="D59" s="3"/>
      <c r="E59" s="3"/>
      <c r="F59" s="3"/>
    </row>
    <row r="60" spans="2:6" ht="15" customHeight="1" x14ac:dyDescent="0.35">
      <c r="B60" s="4">
        <v>45809</v>
      </c>
      <c r="C60" s="6">
        <v>0.03</v>
      </c>
      <c r="D60" s="3"/>
      <c r="E60" s="3"/>
      <c r="F60" s="3"/>
    </row>
    <row r="61" spans="2:6" ht="15" customHeight="1" x14ac:dyDescent="0.35">
      <c r="B61" s="4">
        <v>45839</v>
      </c>
      <c r="C61" s="6">
        <v>0.08</v>
      </c>
      <c r="D61" s="3"/>
      <c r="E61" s="3"/>
      <c r="F61" s="3"/>
    </row>
    <row r="62" spans="2:6" ht="15" customHeight="1" x14ac:dyDescent="0.35">
      <c r="B62" s="4">
        <v>45870</v>
      </c>
      <c r="C62" s="6">
        <v>0.03</v>
      </c>
      <c r="D62" s="3"/>
      <c r="E62" s="3"/>
      <c r="F62" s="3"/>
    </row>
    <row r="63" spans="2:6" ht="15" customHeight="1" x14ac:dyDescent="0.35">
      <c r="B63" s="4">
        <v>45901</v>
      </c>
      <c r="C63" s="6">
        <v>0.01</v>
      </c>
      <c r="D63" s="3"/>
      <c r="E63" s="3"/>
      <c r="F63" s="3"/>
    </row>
    <row r="64" spans="2:6" ht="15" customHeight="1" x14ac:dyDescent="0.35">
      <c r="B64" s="4">
        <v>45931</v>
      </c>
      <c r="C64" s="6">
        <v>7.0000000000000007E-2</v>
      </c>
      <c r="D64" s="3"/>
      <c r="E64" s="3"/>
      <c r="F64" s="3"/>
    </row>
    <row r="65" spans="2:6" ht="15" customHeight="1" x14ac:dyDescent="0.35">
      <c r="B65" s="4">
        <v>45962</v>
      </c>
      <c r="C65" s="7">
        <v>4.2000000000000003E-2</v>
      </c>
      <c r="D65" s="3"/>
      <c r="E65" s="3"/>
      <c r="F65" s="3"/>
    </row>
    <row r="66" spans="2:6" ht="15" customHeight="1" x14ac:dyDescent="0.35">
      <c r="B66" s="4">
        <v>45992</v>
      </c>
      <c r="C66" s="5">
        <v>5.5E-2</v>
      </c>
      <c r="D66" s="3"/>
      <c r="E66" s="3"/>
      <c r="F66" s="3"/>
    </row>
    <row r="67" spans="2:6" ht="15" customHeight="1" x14ac:dyDescent="0.35">
      <c r="B67" s="4">
        <v>46023</v>
      </c>
      <c r="C67" s="5">
        <v>3.4000000000000002E-2</v>
      </c>
      <c r="D67" s="8"/>
      <c r="E67" s="8"/>
      <c r="F67" s="8"/>
    </row>
    <row r="68" spans="2:6" ht="15" customHeight="1" x14ac:dyDescent="0.35">
      <c r="B68" s="4">
        <v>46054</v>
      </c>
      <c r="C68" s="5">
        <v>1.0999999999999999E-2</v>
      </c>
      <c r="D68" s="5"/>
      <c r="E68" s="5"/>
      <c r="F68" s="5"/>
    </row>
    <row r="69" spans="2:6" ht="15" customHeight="1" x14ac:dyDescent="0.35">
      <c r="B69" s="4">
        <v>46082</v>
      </c>
      <c r="C69" s="5">
        <v>1.7000000000000001E-2</v>
      </c>
      <c r="D69" s="5"/>
      <c r="E69" s="5"/>
      <c r="F69" s="5"/>
    </row>
    <row r="70" spans="2:6" ht="15" customHeight="1" x14ac:dyDescent="0.35">
      <c r="B70" s="4">
        <v>46113</v>
      </c>
      <c r="C70" s="8"/>
      <c r="D70" s="8"/>
      <c r="E70" s="8"/>
      <c r="F70" s="8"/>
    </row>
    <row r="71" spans="2:6" ht="15" customHeight="1" x14ac:dyDescent="0.35">
      <c r="B71" s="4">
        <v>46143</v>
      </c>
      <c r="C71" s="8"/>
      <c r="D71" s="8"/>
      <c r="E71" s="8"/>
      <c r="F71" s="8"/>
    </row>
    <row r="73" spans="2:6" ht="15" customHeight="1" x14ac:dyDescent="0.35">
      <c r="B73" s="2" t="s">
        <v>80</v>
      </c>
      <c r="C73" s="37" t="s">
        <v>121</v>
      </c>
      <c r="D73" s="37"/>
      <c r="E73" s="37"/>
      <c r="F73" s="37"/>
    </row>
    <row r="74" spans="2:6" ht="15" customHeight="1" x14ac:dyDescent="0.35">
      <c r="B74" s="2" t="s">
        <v>82</v>
      </c>
      <c r="C74" s="38" t="s">
        <v>122</v>
      </c>
      <c r="D74" s="38"/>
      <c r="E74" s="38"/>
      <c r="F74" s="38"/>
    </row>
    <row r="75" spans="2:6" ht="15" customHeight="1" x14ac:dyDescent="0.35">
      <c r="B75" s="2" t="s">
        <v>82</v>
      </c>
      <c r="C75" s="38" t="s">
        <v>123</v>
      </c>
      <c r="D75" s="38"/>
      <c r="E75" s="38"/>
      <c r="F75" s="38"/>
    </row>
    <row r="76" spans="2:6" ht="15" customHeight="1" x14ac:dyDescent="0.35">
      <c r="B76" s="2" t="s">
        <v>82</v>
      </c>
      <c r="C76" s="38" t="s">
        <v>124</v>
      </c>
      <c r="D76" s="38"/>
      <c r="E76" s="38"/>
      <c r="F76" s="38"/>
    </row>
    <row r="77" spans="2:6" ht="15" customHeight="1" x14ac:dyDescent="0.35">
      <c r="B77" s="2" t="s">
        <v>82</v>
      </c>
      <c r="C77" s="38" t="s">
        <v>125</v>
      </c>
      <c r="D77" s="38"/>
      <c r="E77" s="38"/>
      <c r="F77" s="38"/>
    </row>
    <row r="78" spans="2:6" ht="15" customHeight="1" x14ac:dyDescent="0.35">
      <c r="B78" s="2" t="s">
        <v>82</v>
      </c>
      <c r="C78" s="38" t="s">
        <v>126</v>
      </c>
      <c r="D78" s="38"/>
      <c r="E78" s="38"/>
      <c r="F78" s="38"/>
    </row>
  </sheetData>
  <mergeCells count="6">
    <mergeCell ref="C78:F78"/>
    <mergeCell ref="C73:F73"/>
    <mergeCell ref="C74:F74"/>
    <mergeCell ref="C75:F75"/>
    <mergeCell ref="C76:F76"/>
    <mergeCell ref="C77:F77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8684-861C-4F3C-AC40-202E8F25043C}">
  <dimension ref="B3:H106"/>
  <sheetViews>
    <sheetView showGridLines="0" workbookViewId="0">
      <selection activeCell="D14" sqref="D14"/>
    </sheetView>
  </sheetViews>
  <sheetFormatPr baseColWidth="10" defaultRowHeight="14.5" x14ac:dyDescent="0.35"/>
  <cols>
    <col min="8" max="8" width="16.1796875" bestFit="1" customWidth="1"/>
  </cols>
  <sheetData>
    <row r="3" spans="2:8" ht="20" x14ac:dyDescent="0.4">
      <c r="B3" s="62" t="s">
        <v>242</v>
      </c>
    </row>
    <row r="5" spans="2:8" x14ac:dyDescent="0.35">
      <c r="B5" s="61" t="s">
        <v>79</v>
      </c>
      <c r="C5" s="61" t="s">
        <v>60</v>
      </c>
      <c r="D5" s="61" t="s">
        <v>61</v>
      </c>
      <c r="E5" s="61" t="s">
        <v>62</v>
      </c>
      <c r="F5" s="61" t="s">
        <v>63</v>
      </c>
      <c r="G5" s="61" t="s">
        <v>64</v>
      </c>
      <c r="H5" s="61" t="s">
        <v>243</v>
      </c>
    </row>
    <row r="6" spans="2:8" x14ac:dyDescent="0.35">
      <c r="B6" s="4">
        <v>43831</v>
      </c>
      <c r="C6" s="86">
        <v>0.05</v>
      </c>
      <c r="D6" s="86">
        <v>1.7500000000000002E-2</v>
      </c>
      <c r="E6" s="86">
        <v>4.2500000000000003E-2</v>
      </c>
      <c r="F6" s="86">
        <v>7.2499999999999995E-2</v>
      </c>
      <c r="G6" s="86">
        <v>2.2499999999999999E-2</v>
      </c>
      <c r="H6" s="86">
        <v>1.55E-2</v>
      </c>
    </row>
    <row r="7" spans="2:8" x14ac:dyDescent="0.35">
      <c r="B7" s="4">
        <v>43890</v>
      </c>
      <c r="C7" s="86">
        <v>0.05</v>
      </c>
      <c r="D7" s="86">
        <v>1.7500000000000002E-2</v>
      </c>
      <c r="E7" s="86">
        <v>4.2500000000000003E-2</v>
      </c>
      <c r="F7" s="86">
        <v>7.0000000000000007E-2</v>
      </c>
      <c r="G7" s="86">
        <v>2.2499999999999999E-2</v>
      </c>
      <c r="H7" s="86">
        <v>1.5800000000000002E-2</v>
      </c>
    </row>
    <row r="8" spans="2:8" x14ac:dyDescent="0.35">
      <c r="B8" s="4">
        <v>43921</v>
      </c>
      <c r="C8" s="86">
        <v>0.05</v>
      </c>
      <c r="D8" s="86">
        <v>0.01</v>
      </c>
      <c r="E8" s="86">
        <v>3.7499999999999999E-2</v>
      </c>
      <c r="F8" s="86">
        <v>6.5000000000000002E-2</v>
      </c>
      <c r="G8" s="86">
        <v>1.2500000000000001E-2</v>
      </c>
      <c r="H8" s="86">
        <v>6.5000000000000006E-3</v>
      </c>
    </row>
    <row r="9" spans="2:8" x14ac:dyDescent="0.35">
      <c r="B9" s="4">
        <v>43951</v>
      </c>
      <c r="C9" s="86">
        <v>0.05</v>
      </c>
      <c r="D9" s="86">
        <v>5.0000000000000001E-3</v>
      </c>
      <c r="E9" s="86">
        <v>3.7499999999999999E-2</v>
      </c>
      <c r="F9" s="86">
        <v>0.06</v>
      </c>
      <c r="G9" s="86">
        <v>2.5000000000000001E-3</v>
      </c>
      <c r="H9" s="86">
        <v>5.0000000000000001E-4</v>
      </c>
    </row>
    <row r="10" spans="2:8" x14ac:dyDescent="0.35">
      <c r="B10" s="4">
        <v>43982</v>
      </c>
      <c r="C10" s="86">
        <v>4.4999999999999998E-2</v>
      </c>
      <c r="D10" s="86">
        <v>5.0000000000000001E-3</v>
      </c>
      <c r="E10" s="86">
        <v>3.2500000000000001E-2</v>
      </c>
      <c r="F10" s="86">
        <v>5.5E-2</v>
      </c>
      <c r="G10" s="86">
        <v>2.5000000000000001E-3</v>
      </c>
      <c r="H10" s="86">
        <v>5.0000000000000001E-4</v>
      </c>
    </row>
    <row r="11" spans="2:8" x14ac:dyDescent="0.35">
      <c r="B11" s="4">
        <v>44012</v>
      </c>
      <c r="C11" s="86">
        <v>4.2500000000000003E-2</v>
      </c>
      <c r="D11" s="86">
        <v>5.0000000000000001E-3</v>
      </c>
      <c r="E11" s="86">
        <v>2.75E-2</v>
      </c>
      <c r="F11" s="86">
        <v>0.05</v>
      </c>
      <c r="G11" s="86">
        <v>2.5000000000000001E-3</v>
      </c>
      <c r="H11" s="86">
        <v>8.0000000000000004E-4</v>
      </c>
    </row>
    <row r="12" spans="2:8" x14ac:dyDescent="0.35">
      <c r="B12" s="4">
        <v>44043</v>
      </c>
      <c r="C12" s="86">
        <v>3.7499999999999999E-2</v>
      </c>
      <c r="D12" s="86">
        <v>5.0000000000000001E-3</v>
      </c>
      <c r="E12" s="86">
        <v>2.5000000000000001E-2</v>
      </c>
      <c r="F12" s="86">
        <v>0.05</v>
      </c>
      <c r="G12" s="86">
        <v>2.5000000000000001E-3</v>
      </c>
      <c r="H12" s="86">
        <v>8.9999999999999998E-4</v>
      </c>
    </row>
    <row r="13" spans="2:8" x14ac:dyDescent="0.35">
      <c r="B13" s="4">
        <v>44074</v>
      </c>
      <c r="C13" s="86">
        <v>0.03</v>
      </c>
      <c r="D13" s="86">
        <v>5.0000000000000001E-3</v>
      </c>
      <c r="E13" s="86">
        <v>2.2499999999999999E-2</v>
      </c>
      <c r="F13" s="86">
        <v>4.4999999999999998E-2</v>
      </c>
      <c r="G13" s="86">
        <v>2.5000000000000001E-3</v>
      </c>
      <c r="H13" s="86">
        <v>1E-3</v>
      </c>
    </row>
    <row r="14" spans="2:8" x14ac:dyDescent="0.35">
      <c r="B14" s="4">
        <v>44104</v>
      </c>
      <c r="C14" s="86">
        <v>2.2499999999999999E-2</v>
      </c>
      <c r="D14" s="86">
        <v>5.0000000000000001E-3</v>
      </c>
      <c r="E14" s="86">
        <v>1.7500000000000002E-2</v>
      </c>
      <c r="F14" s="86">
        <v>4.2500000000000003E-2</v>
      </c>
      <c r="G14" s="86">
        <v>2.5000000000000001E-3</v>
      </c>
      <c r="H14" s="86">
        <v>8.9999999999999998E-4</v>
      </c>
    </row>
    <row r="15" spans="2:8" x14ac:dyDescent="0.35">
      <c r="B15" s="4">
        <v>44135</v>
      </c>
      <c r="C15" s="86">
        <v>0.02</v>
      </c>
      <c r="D15" s="86">
        <v>5.0000000000000001E-3</v>
      </c>
      <c r="E15" s="86">
        <v>1.7500000000000002E-2</v>
      </c>
      <c r="F15" s="86">
        <v>4.2500000000000003E-2</v>
      </c>
      <c r="G15" s="86">
        <v>2.5000000000000001E-3</v>
      </c>
      <c r="H15" s="86">
        <v>8.9999999999999998E-4</v>
      </c>
    </row>
    <row r="16" spans="2:8" x14ac:dyDescent="0.35">
      <c r="B16" s="4">
        <v>44165</v>
      </c>
      <c r="C16" s="86">
        <v>0.02</v>
      </c>
      <c r="D16" s="86">
        <v>5.0000000000000001E-3</v>
      </c>
      <c r="E16" s="86">
        <v>1.7500000000000002E-2</v>
      </c>
      <c r="F16" s="86">
        <v>4.2500000000000003E-2</v>
      </c>
      <c r="G16" s="86">
        <v>2.5000000000000001E-3</v>
      </c>
      <c r="H16" s="86">
        <v>8.9999999999999998E-4</v>
      </c>
    </row>
    <row r="17" spans="2:8" x14ac:dyDescent="0.35">
      <c r="B17" s="4">
        <v>44196</v>
      </c>
      <c r="C17" s="86">
        <v>0.02</v>
      </c>
      <c r="D17" s="86">
        <v>5.0000000000000001E-3</v>
      </c>
      <c r="E17" s="86">
        <v>1.7500000000000002E-2</v>
      </c>
      <c r="F17" s="86">
        <v>4.2500000000000003E-2</v>
      </c>
      <c r="G17" s="86">
        <v>2.5000000000000001E-3</v>
      </c>
      <c r="H17" s="86">
        <v>8.9999999999999998E-4</v>
      </c>
    </row>
    <row r="18" spans="2:8" x14ac:dyDescent="0.35">
      <c r="B18" s="4">
        <v>44227</v>
      </c>
      <c r="C18" s="86">
        <v>0.02</v>
      </c>
      <c r="D18" s="86">
        <v>5.0000000000000001E-3</v>
      </c>
      <c r="E18" s="86">
        <v>1.7500000000000002E-2</v>
      </c>
      <c r="F18" s="86">
        <v>4.2500000000000003E-2</v>
      </c>
      <c r="G18" s="86">
        <v>2.5000000000000001E-3</v>
      </c>
      <c r="H18" s="86">
        <v>8.9999999999999998E-4</v>
      </c>
    </row>
    <row r="19" spans="2:8" x14ac:dyDescent="0.35">
      <c r="B19" s="4">
        <v>44255</v>
      </c>
      <c r="C19" s="86">
        <v>0.02</v>
      </c>
      <c r="D19" s="86">
        <v>5.0000000000000001E-3</v>
      </c>
      <c r="E19" s="86">
        <v>1.7500000000000002E-2</v>
      </c>
      <c r="F19" s="86">
        <v>0.04</v>
      </c>
      <c r="G19" s="86">
        <v>2.5000000000000001E-3</v>
      </c>
      <c r="H19" s="86">
        <v>8.0000000000000004E-4</v>
      </c>
    </row>
    <row r="20" spans="2:8" x14ac:dyDescent="0.35">
      <c r="B20" s="4">
        <v>44286</v>
      </c>
      <c r="C20" s="86">
        <v>0.02</v>
      </c>
      <c r="D20" s="86">
        <v>5.0000000000000001E-3</v>
      </c>
      <c r="E20" s="86">
        <v>1.7500000000000002E-2</v>
      </c>
      <c r="F20" s="86">
        <v>0.04</v>
      </c>
      <c r="G20" s="86">
        <v>2.5000000000000001E-3</v>
      </c>
      <c r="H20" s="86">
        <v>7.000000000000001E-4</v>
      </c>
    </row>
    <row r="21" spans="2:8" x14ac:dyDescent="0.35">
      <c r="B21" s="4">
        <v>44316</v>
      </c>
      <c r="C21" s="86">
        <v>0.02</v>
      </c>
      <c r="D21" s="86">
        <v>5.0000000000000001E-3</v>
      </c>
      <c r="E21" s="86">
        <v>1.7500000000000002E-2</v>
      </c>
      <c r="F21" s="86">
        <v>0.04</v>
      </c>
      <c r="G21" s="86">
        <v>2.5000000000000001E-3</v>
      </c>
      <c r="H21" s="86">
        <v>7.000000000000001E-4</v>
      </c>
    </row>
    <row r="22" spans="2:8" x14ac:dyDescent="0.35">
      <c r="B22" s="4">
        <v>44347</v>
      </c>
      <c r="C22" s="86">
        <v>0.02</v>
      </c>
      <c r="D22" s="86">
        <v>5.0000000000000001E-3</v>
      </c>
      <c r="E22" s="86">
        <v>1.7500000000000002E-2</v>
      </c>
      <c r="F22" s="86">
        <v>0.04</v>
      </c>
      <c r="G22" s="86">
        <v>2.5000000000000001E-3</v>
      </c>
      <c r="H22" s="86">
        <v>5.9999999999999995E-4</v>
      </c>
    </row>
    <row r="23" spans="2:8" x14ac:dyDescent="0.35">
      <c r="B23" s="4">
        <v>44377</v>
      </c>
      <c r="C23" s="86">
        <v>0.02</v>
      </c>
      <c r="D23" s="86">
        <v>5.0000000000000001E-3</v>
      </c>
      <c r="E23" s="86">
        <v>1.7500000000000002E-2</v>
      </c>
      <c r="F23" s="86">
        <v>4.2500000000000003E-2</v>
      </c>
      <c r="G23" s="86">
        <v>2.5000000000000001E-3</v>
      </c>
      <c r="H23" s="86">
        <v>8.0000000000000004E-4</v>
      </c>
    </row>
    <row r="24" spans="2:8" x14ac:dyDescent="0.35">
      <c r="B24" s="4">
        <v>44408</v>
      </c>
      <c r="C24" s="86">
        <v>2.75E-2</v>
      </c>
      <c r="D24" s="86">
        <v>5.0000000000000001E-3</v>
      </c>
      <c r="E24" s="86">
        <v>1.7500000000000002E-2</v>
      </c>
      <c r="F24" s="86">
        <v>4.2500000000000003E-2</v>
      </c>
      <c r="G24" s="86">
        <v>2.5000000000000001E-3</v>
      </c>
      <c r="H24" s="86">
        <v>1E-3</v>
      </c>
    </row>
    <row r="25" spans="2:8" x14ac:dyDescent="0.35">
      <c r="B25" s="4">
        <v>44439</v>
      </c>
      <c r="C25" s="86">
        <v>3.5000000000000003E-2</v>
      </c>
      <c r="D25" s="86">
        <v>7.4999999999999997E-3</v>
      </c>
      <c r="E25" s="86">
        <v>1.7500000000000002E-2</v>
      </c>
      <c r="F25" s="86">
        <v>4.4999999999999998E-2</v>
      </c>
      <c r="G25" s="86">
        <v>5.0000000000000001E-3</v>
      </c>
      <c r="H25" s="86">
        <v>8.9999999999999998E-4</v>
      </c>
    </row>
    <row r="26" spans="2:8" x14ac:dyDescent="0.35">
      <c r="B26" s="4">
        <v>44469</v>
      </c>
      <c r="C26" s="86">
        <v>4.2500000000000003E-2</v>
      </c>
      <c r="D26" s="86">
        <v>1.4999999999999999E-2</v>
      </c>
      <c r="E26" s="86">
        <v>1.7500000000000002E-2</v>
      </c>
      <c r="F26" s="86">
        <v>4.4999999999999998E-2</v>
      </c>
      <c r="G26" s="86">
        <v>0.01</v>
      </c>
      <c r="H26" s="86">
        <v>8.0000000000000004E-4</v>
      </c>
    </row>
    <row r="27" spans="2:8" x14ac:dyDescent="0.35">
      <c r="B27" s="4">
        <v>44500</v>
      </c>
      <c r="C27" s="86">
        <v>5.2499999999999998E-2</v>
      </c>
      <c r="D27" s="86">
        <v>1.4999999999999999E-2</v>
      </c>
      <c r="E27" s="86">
        <v>0.02</v>
      </c>
      <c r="F27" s="86">
        <v>4.7500000000000001E-2</v>
      </c>
      <c r="G27" s="86">
        <v>1.4999999999999999E-2</v>
      </c>
      <c r="H27" s="86">
        <v>8.0000000000000004E-4</v>
      </c>
    </row>
    <row r="28" spans="2:8" x14ac:dyDescent="0.35">
      <c r="B28" s="4">
        <v>44530</v>
      </c>
      <c r="C28" s="86">
        <v>6.25E-2</v>
      </c>
      <c r="D28" s="86">
        <v>2.75E-2</v>
      </c>
      <c r="E28" s="86">
        <v>2.5000000000000001E-2</v>
      </c>
      <c r="F28" s="86">
        <v>0.05</v>
      </c>
      <c r="G28" s="86">
        <v>0.02</v>
      </c>
      <c r="H28" s="86">
        <v>8.0000000000000004E-4</v>
      </c>
    </row>
    <row r="29" spans="2:8" x14ac:dyDescent="0.35">
      <c r="B29" s="4">
        <v>44561</v>
      </c>
      <c r="C29" s="86">
        <v>7.7499999999999999E-2</v>
      </c>
      <c r="D29" s="86">
        <v>2.75E-2</v>
      </c>
      <c r="E29" s="86">
        <v>0.03</v>
      </c>
      <c r="F29" s="86">
        <v>5.5E-2</v>
      </c>
      <c r="G29" s="86">
        <v>2.5000000000000001E-2</v>
      </c>
      <c r="H29" s="86">
        <v>8.0000000000000004E-4</v>
      </c>
    </row>
    <row r="30" spans="2:8" x14ac:dyDescent="0.35">
      <c r="B30" s="4">
        <v>44592</v>
      </c>
      <c r="C30" s="86">
        <v>9.2499999999999999E-2</v>
      </c>
      <c r="D30" s="86">
        <v>5.5E-2</v>
      </c>
      <c r="E30" s="86">
        <v>0.04</v>
      </c>
      <c r="F30" s="86">
        <v>5.5E-2</v>
      </c>
      <c r="G30" s="86">
        <v>0.03</v>
      </c>
      <c r="H30" s="86">
        <v>8.0000000000000004E-4</v>
      </c>
    </row>
    <row r="31" spans="2:8" x14ac:dyDescent="0.35">
      <c r="B31" s="4">
        <v>44620</v>
      </c>
      <c r="C31" s="86">
        <v>0.1075</v>
      </c>
      <c r="D31" s="86">
        <v>5.5E-2</v>
      </c>
      <c r="E31" s="86">
        <v>0.04</v>
      </c>
      <c r="F31" s="86">
        <v>0.06</v>
      </c>
      <c r="G31" s="86">
        <v>3.5000000000000003E-2</v>
      </c>
      <c r="H31" s="86">
        <v>8.0000000000000004E-4</v>
      </c>
    </row>
    <row r="32" spans="2:8" x14ac:dyDescent="0.35">
      <c r="B32" s="4">
        <v>44651</v>
      </c>
      <c r="C32" s="86">
        <v>0.11749999999999999</v>
      </c>
      <c r="D32" s="86">
        <v>7.0000000000000007E-2</v>
      </c>
      <c r="E32" s="86">
        <v>0.04</v>
      </c>
      <c r="F32" s="86">
        <v>6.5000000000000002E-2</v>
      </c>
      <c r="G32" s="86">
        <v>0.04</v>
      </c>
      <c r="H32" s="86">
        <v>2E-3</v>
      </c>
    </row>
    <row r="33" spans="2:8" x14ac:dyDescent="0.35">
      <c r="B33" s="4">
        <v>44681</v>
      </c>
      <c r="C33" s="86">
        <v>0.1275</v>
      </c>
      <c r="D33" s="86">
        <v>7.0000000000000007E-2</v>
      </c>
      <c r="E33" s="86">
        <v>0.05</v>
      </c>
      <c r="F33" s="86">
        <v>6.5000000000000002E-2</v>
      </c>
      <c r="G33" s="86">
        <v>4.4999999999999998E-2</v>
      </c>
      <c r="H33" s="86">
        <v>3.3E-3</v>
      </c>
    </row>
    <row r="34" spans="2:8" x14ac:dyDescent="0.35">
      <c r="B34" s="4">
        <v>44712</v>
      </c>
      <c r="C34" s="86">
        <v>0.1275</v>
      </c>
      <c r="D34" s="86">
        <v>8.2500000000000004E-2</v>
      </c>
      <c r="E34" s="86">
        <v>0.06</v>
      </c>
      <c r="F34" s="86">
        <v>7.0000000000000007E-2</v>
      </c>
      <c r="G34" s="86">
        <v>0.05</v>
      </c>
      <c r="H34" s="86">
        <v>7.7000000000000002E-3</v>
      </c>
    </row>
    <row r="35" spans="2:8" x14ac:dyDescent="0.35">
      <c r="B35" s="4">
        <v>44742</v>
      </c>
      <c r="C35" s="86">
        <v>0.1275</v>
      </c>
      <c r="D35" s="86">
        <v>0.09</v>
      </c>
      <c r="E35" s="86">
        <v>0.06</v>
      </c>
      <c r="F35" s="86">
        <v>7.7499999999999999E-2</v>
      </c>
      <c r="G35" s="86">
        <v>5.5E-2</v>
      </c>
      <c r="H35" s="86">
        <v>1.21E-2</v>
      </c>
    </row>
    <row r="36" spans="2:8" x14ac:dyDescent="0.35">
      <c r="B36" s="4">
        <v>44773</v>
      </c>
      <c r="C36" s="86">
        <v>0.1275</v>
      </c>
      <c r="D36" s="86">
        <v>0.09</v>
      </c>
      <c r="E36" s="86">
        <v>7.4999999999999997E-2</v>
      </c>
      <c r="F36" s="86">
        <v>7.7499999999999999E-2</v>
      </c>
      <c r="G36" s="86">
        <v>0.06</v>
      </c>
      <c r="H36" s="86">
        <v>1.6799999999999999E-2</v>
      </c>
    </row>
    <row r="37" spans="2:8" x14ac:dyDescent="0.35">
      <c r="B37" s="4">
        <v>44804</v>
      </c>
      <c r="C37" s="86">
        <v>0.1275</v>
      </c>
      <c r="D37" s="86">
        <v>9.7500000000000003E-2</v>
      </c>
      <c r="E37" s="86">
        <v>0.09</v>
      </c>
      <c r="F37" s="86">
        <v>8.5000000000000006E-2</v>
      </c>
      <c r="G37" s="86">
        <v>6.5000000000000002E-2</v>
      </c>
      <c r="H37" s="86">
        <v>2.3300000000000001E-2</v>
      </c>
    </row>
    <row r="38" spans="2:8" x14ac:dyDescent="0.35">
      <c r="B38" s="4">
        <v>44834</v>
      </c>
      <c r="C38" s="86">
        <v>0.13250000000000001</v>
      </c>
      <c r="D38" s="86">
        <v>0.1075</v>
      </c>
      <c r="E38" s="86">
        <v>0.1</v>
      </c>
      <c r="F38" s="86">
        <v>9.2499999999999999E-2</v>
      </c>
      <c r="G38" s="86">
        <v>6.7500000000000004E-2</v>
      </c>
      <c r="H38" s="86">
        <v>2.5600000000000001E-2</v>
      </c>
    </row>
    <row r="39" spans="2:8" x14ac:dyDescent="0.35">
      <c r="B39" s="4">
        <v>44865</v>
      </c>
      <c r="C39" s="86">
        <v>0.13750000000000001</v>
      </c>
      <c r="D39" s="86">
        <v>0.1075</v>
      </c>
      <c r="E39" s="86">
        <v>0.11</v>
      </c>
      <c r="F39" s="86">
        <v>9.2499999999999999E-2</v>
      </c>
      <c r="G39" s="86">
        <v>7.0000000000000007E-2</v>
      </c>
      <c r="H39" s="86">
        <v>3.0800000000000001E-2</v>
      </c>
    </row>
    <row r="40" spans="2:8" x14ac:dyDescent="0.35">
      <c r="B40" s="4">
        <v>44895</v>
      </c>
      <c r="C40" s="86">
        <v>0.13750000000000001</v>
      </c>
      <c r="D40" s="86">
        <v>0.1125</v>
      </c>
      <c r="E40" s="86">
        <v>0.11</v>
      </c>
      <c r="F40" s="86">
        <v>0.1</v>
      </c>
      <c r="G40" s="86">
        <v>7.2499999999999995E-2</v>
      </c>
      <c r="H40" s="86">
        <v>3.78E-2</v>
      </c>
    </row>
    <row r="41" spans="2:8" x14ac:dyDescent="0.35">
      <c r="B41" s="4">
        <v>44926</v>
      </c>
      <c r="C41" s="86">
        <v>0.13750000000000001</v>
      </c>
      <c r="D41" s="86">
        <v>0.1125</v>
      </c>
      <c r="E41" s="86">
        <v>0.12</v>
      </c>
      <c r="F41" s="86">
        <v>0.105</v>
      </c>
      <c r="G41" s="86">
        <v>7.4999999999999997E-2</v>
      </c>
      <c r="H41" s="86">
        <v>4.0999999999999995E-2</v>
      </c>
    </row>
    <row r="42" spans="2:8" x14ac:dyDescent="0.35">
      <c r="B42" s="4">
        <v>44957</v>
      </c>
      <c r="C42" s="86">
        <v>0.13750000000000001</v>
      </c>
      <c r="D42" s="86">
        <v>0.1125</v>
      </c>
      <c r="E42" s="86">
        <v>0.1275</v>
      </c>
      <c r="F42" s="86">
        <v>0.105</v>
      </c>
      <c r="G42" s="86">
        <v>7.7499999999999999E-2</v>
      </c>
      <c r="H42" s="86">
        <v>4.3299999999999998E-2</v>
      </c>
    </row>
    <row r="43" spans="2:8" x14ac:dyDescent="0.35">
      <c r="B43" s="4">
        <v>44985</v>
      </c>
      <c r="C43" s="86">
        <v>0.13750000000000001</v>
      </c>
      <c r="D43" s="86">
        <v>0.1125</v>
      </c>
      <c r="E43" s="86">
        <v>0.1275</v>
      </c>
      <c r="F43" s="86">
        <v>0.11</v>
      </c>
      <c r="G43" s="86">
        <v>7.7499999999999999E-2</v>
      </c>
      <c r="H43" s="86">
        <v>4.5700000000000005E-2</v>
      </c>
    </row>
    <row r="44" spans="2:8" x14ac:dyDescent="0.35">
      <c r="B44" s="4">
        <v>45016</v>
      </c>
      <c r="C44" s="86">
        <v>0.13750000000000001</v>
      </c>
      <c r="D44" s="86">
        <v>0.1125</v>
      </c>
      <c r="E44" s="86">
        <v>0.13</v>
      </c>
      <c r="F44" s="86">
        <v>0.1125</v>
      </c>
      <c r="G44" s="86">
        <v>7.7499999999999999E-2</v>
      </c>
      <c r="H44" s="86">
        <v>4.6500000000000007E-2</v>
      </c>
    </row>
    <row r="45" spans="2:8" x14ac:dyDescent="0.35">
      <c r="B45" s="4">
        <v>45046</v>
      </c>
      <c r="C45" s="86">
        <v>0.13750000000000001</v>
      </c>
      <c r="D45" s="86">
        <v>0.1125</v>
      </c>
      <c r="E45" s="86">
        <v>0.13</v>
      </c>
      <c r="F45" s="86">
        <v>0.1125</v>
      </c>
      <c r="G45" s="86">
        <v>7.7499999999999999E-2</v>
      </c>
      <c r="H45" s="86">
        <v>4.8300000000000003E-2</v>
      </c>
    </row>
    <row r="46" spans="2:8" x14ac:dyDescent="0.35">
      <c r="B46" s="4">
        <v>45077</v>
      </c>
      <c r="C46" s="86">
        <v>0.13750000000000001</v>
      </c>
      <c r="D46" s="86">
        <v>0.1125</v>
      </c>
      <c r="E46" s="86">
        <v>0.13250000000000001</v>
      </c>
      <c r="F46" s="86">
        <v>0.1125</v>
      </c>
      <c r="G46" s="86">
        <v>7.7499999999999999E-2</v>
      </c>
      <c r="H46" s="86">
        <v>5.0599999999999999E-2</v>
      </c>
    </row>
    <row r="47" spans="2:8" x14ac:dyDescent="0.35">
      <c r="B47" s="4">
        <v>45107</v>
      </c>
      <c r="C47" s="86">
        <v>0.13750000000000001</v>
      </c>
      <c r="D47" s="86">
        <v>0.1125</v>
      </c>
      <c r="E47" s="86">
        <v>0.13250000000000001</v>
      </c>
      <c r="F47" s="86">
        <v>0.1125</v>
      </c>
      <c r="G47" s="86">
        <v>7.7499999999999999E-2</v>
      </c>
      <c r="H47" s="86">
        <v>5.0799999999999998E-2</v>
      </c>
    </row>
    <row r="48" spans="2:8" x14ac:dyDescent="0.35">
      <c r="B48" s="4">
        <v>45138</v>
      </c>
      <c r="C48" s="86">
        <v>0.13750000000000001</v>
      </c>
      <c r="D48" s="86">
        <v>0.10249999999999999</v>
      </c>
      <c r="E48" s="86">
        <v>0.13250000000000001</v>
      </c>
      <c r="F48" s="86">
        <v>0.1125</v>
      </c>
      <c r="G48" s="86">
        <v>7.7499999999999999E-2</v>
      </c>
      <c r="H48" s="86">
        <v>5.1200000000000002E-2</v>
      </c>
    </row>
    <row r="49" spans="2:8" x14ac:dyDescent="0.35">
      <c r="B49" s="4">
        <v>45169</v>
      </c>
      <c r="C49" s="86">
        <v>0.13750000000000001</v>
      </c>
      <c r="D49" s="86">
        <v>0.10249999999999999</v>
      </c>
      <c r="E49" s="86">
        <v>0.13250000000000001</v>
      </c>
      <c r="F49" s="86">
        <v>0.1125</v>
      </c>
      <c r="G49" s="86">
        <v>7.7499999999999999E-2</v>
      </c>
      <c r="H49" s="86">
        <v>5.33E-2</v>
      </c>
    </row>
    <row r="50" spans="2:8" x14ac:dyDescent="0.35">
      <c r="B50" s="4">
        <v>45199</v>
      </c>
      <c r="C50" s="86">
        <v>0.13750000000000001</v>
      </c>
      <c r="D50" s="86">
        <v>0.10249999999999999</v>
      </c>
      <c r="E50" s="86">
        <v>0.13250000000000001</v>
      </c>
      <c r="F50" s="86">
        <v>0.1125</v>
      </c>
      <c r="G50" s="86">
        <v>7.4999999999999997E-2</v>
      </c>
      <c r="H50" s="86">
        <v>5.33E-2</v>
      </c>
    </row>
    <row r="51" spans="2:8" x14ac:dyDescent="0.35">
      <c r="B51" s="4">
        <v>45230</v>
      </c>
      <c r="C51" s="86">
        <v>0.13250000000000001</v>
      </c>
      <c r="D51" s="86">
        <v>0.09</v>
      </c>
      <c r="E51" s="86">
        <v>0.13250000000000001</v>
      </c>
      <c r="F51" s="86">
        <v>0.1125</v>
      </c>
      <c r="G51" s="86">
        <v>7.2499999999999995E-2</v>
      </c>
      <c r="H51" s="86">
        <v>5.33E-2</v>
      </c>
    </row>
    <row r="52" spans="2:8" x14ac:dyDescent="0.35">
      <c r="B52" s="4">
        <v>45260</v>
      </c>
      <c r="C52" s="86">
        <v>0.1275</v>
      </c>
      <c r="D52" s="86">
        <v>0.09</v>
      </c>
      <c r="E52" s="86">
        <v>0.13250000000000001</v>
      </c>
      <c r="F52" s="86">
        <v>0.1125</v>
      </c>
      <c r="G52" s="86">
        <v>7.0000000000000007E-2</v>
      </c>
      <c r="H52" s="86">
        <v>5.33E-2</v>
      </c>
    </row>
    <row r="53" spans="2:8" x14ac:dyDescent="0.35">
      <c r="B53" s="4">
        <v>45291</v>
      </c>
      <c r="C53" s="86">
        <v>0.1225</v>
      </c>
      <c r="D53" s="86">
        <v>0.09</v>
      </c>
      <c r="E53" s="86">
        <v>0.13</v>
      </c>
      <c r="F53" s="86">
        <v>0.1125</v>
      </c>
      <c r="G53" s="86">
        <v>6.7500000000000004E-2</v>
      </c>
      <c r="H53" s="86">
        <v>5.33E-2</v>
      </c>
    </row>
    <row r="54" spans="2:8" x14ac:dyDescent="0.35">
      <c r="B54" s="4">
        <v>45322</v>
      </c>
      <c r="C54" s="86">
        <v>0.11749999999999999</v>
      </c>
      <c r="D54" s="86">
        <v>8.2500000000000004E-2</v>
      </c>
      <c r="E54" s="86">
        <v>0.13</v>
      </c>
      <c r="F54" s="86">
        <v>0.1125</v>
      </c>
      <c r="G54" s="86">
        <v>6.5000000000000002E-2</v>
      </c>
      <c r="H54" s="86">
        <v>5.33E-2</v>
      </c>
    </row>
    <row r="55" spans="2:8" x14ac:dyDescent="0.35">
      <c r="B55" s="4">
        <v>45351</v>
      </c>
      <c r="C55" s="86">
        <v>0.1125</v>
      </c>
      <c r="D55" s="86">
        <v>7.2499999999999995E-2</v>
      </c>
      <c r="E55" s="86">
        <v>0.1275</v>
      </c>
      <c r="F55" s="86">
        <v>0.1125</v>
      </c>
      <c r="G55" s="86">
        <v>6.25E-2</v>
      </c>
      <c r="H55" s="86">
        <v>5.33E-2</v>
      </c>
    </row>
    <row r="56" spans="2:8" x14ac:dyDescent="0.35">
      <c r="B56" s="4">
        <v>45382</v>
      </c>
      <c r="C56" s="86">
        <v>0.1075</v>
      </c>
      <c r="D56" s="86">
        <v>7.2499999999999995E-2</v>
      </c>
      <c r="E56" s="86">
        <v>0.1225</v>
      </c>
      <c r="F56" s="86">
        <v>0.11</v>
      </c>
      <c r="G56" s="86">
        <v>6.25E-2</v>
      </c>
      <c r="H56" s="86">
        <v>5.33E-2</v>
      </c>
    </row>
    <row r="57" spans="2:8" x14ac:dyDescent="0.35">
      <c r="B57" s="4">
        <v>45412</v>
      </c>
      <c r="C57" s="86">
        <v>0.105</v>
      </c>
      <c r="D57" s="86">
        <v>6.5000000000000002E-2</v>
      </c>
      <c r="E57" s="86">
        <v>0.1225</v>
      </c>
      <c r="F57" s="86">
        <v>0.11</v>
      </c>
      <c r="G57" s="86">
        <v>0.06</v>
      </c>
      <c r="H57" s="86">
        <v>5.33E-2</v>
      </c>
    </row>
    <row r="58" spans="2:8" x14ac:dyDescent="0.35">
      <c r="B58" s="4">
        <v>45443</v>
      </c>
      <c r="C58" s="86">
        <v>0.105</v>
      </c>
      <c r="D58" s="86">
        <v>0.06</v>
      </c>
      <c r="E58" s="86">
        <v>0.11749999999999999</v>
      </c>
      <c r="F58" s="86">
        <v>0.11</v>
      </c>
      <c r="G58" s="86">
        <v>5.7500000000000002E-2</v>
      </c>
      <c r="H58" s="86">
        <v>5.33E-2</v>
      </c>
    </row>
    <row r="59" spans="2:8" x14ac:dyDescent="0.35">
      <c r="B59" s="4">
        <v>45473</v>
      </c>
      <c r="C59" s="86">
        <v>0.105</v>
      </c>
      <c r="D59" s="86">
        <v>0.06</v>
      </c>
      <c r="E59" s="86">
        <v>0.11749999999999999</v>
      </c>
      <c r="F59" s="86">
        <v>0.11</v>
      </c>
      <c r="G59" s="86">
        <v>5.7500000000000002E-2</v>
      </c>
      <c r="H59" s="86">
        <v>5.33E-2</v>
      </c>
    </row>
    <row r="60" spans="2:8" x14ac:dyDescent="0.35">
      <c r="B60" s="4">
        <v>45504</v>
      </c>
      <c r="C60" s="86">
        <v>0.105</v>
      </c>
      <c r="D60" s="86">
        <v>5.7500000000000002E-2</v>
      </c>
      <c r="E60" s="86">
        <v>0.1125</v>
      </c>
      <c r="F60" s="86">
        <v>0.11</v>
      </c>
      <c r="G60" s="86">
        <v>5.7500000000000002E-2</v>
      </c>
      <c r="H60" s="86">
        <v>5.33E-2</v>
      </c>
    </row>
    <row r="61" spans="2:8" x14ac:dyDescent="0.35">
      <c r="B61" s="4">
        <v>45535</v>
      </c>
      <c r="C61" s="86">
        <v>0.105</v>
      </c>
      <c r="D61" s="86">
        <v>5.7500000000000002E-2</v>
      </c>
      <c r="E61" s="86">
        <v>0.1075</v>
      </c>
      <c r="F61" s="86">
        <v>0.1075</v>
      </c>
      <c r="G61" s="86">
        <v>5.5E-2</v>
      </c>
      <c r="H61" s="86">
        <v>5.33E-2</v>
      </c>
    </row>
    <row r="62" spans="2:8" x14ac:dyDescent="0.35">
      <c r="B62" s="4">
        <v>45565</v>
      </c>
      <c r="C62" s="86">
        <v>0.105</v>
      </c>
      <c r="D62" s="86">
        <v>5.5E-2</v>
      </c>
      <c r="E62" s="86">
        <v>0.1075</v>
      </c>
      <c r="F62" s="86">
        <v>0.105</v>
      </c>
      <c r="G62" s="86">
        <v>5.2499999999999998E-2</v>
      </c>
      <c r="H62" s="86">
        <v>5.1299999999999998E-2</v>
      </c>
    </row>
    <row r="63" spans="2:8" x14ac:dyDescent="0.35">
      <c r="B63" s="4">
        <v>45596</v>
      </c>
      <c r="C63" s="86">
        <v>0.105</v>
      </c>
      <c r="D63" s="86">
        <v>5.5E-2</v>
      </c>
      <c r="E63" s="86">
        <v>0.10249999999999999</v>
      </c>
      <c r="F63" s="86">
        <v>0.105</v>
      </c>
      <c r="G63" s="86">
        <v>5.2499999999999998E-2</v>
      </c>
      <c r="H63" s="86">
        <v>4.8300000000000003E-2</v>
      </c>
    </row>
    <row r="64" spans="2:8" x14ac:dyDescent="0.35">
      <c r="B64" s="4">
        <v>45626</v>
      </c>
      <c r="C64" s="86">
        <v>0.1075</v>
      </c>
      <c r="D64" s="86">
        <v>5.5E-2</v>
      </c>
      <c r="E64" s="86">
        <v>9.7500000000000003E-2</v>
      </c>
      <c r="F64" s="86">
        <v>0.10249999999999999</v>
      </c>
      <c r="G64" s="86">
        <v>0.05</v>
      </c>
      <c r="H64" s="86">
        <v>4.6399999999999997E-2</v>
      </c>
    </row>
    <row r="65" spans="2:8" x14ac:dyDescent="0.35">
      <c r="B65" s="4">
        <v>45657</v>
      </c>
      <c r="C65" s="86">
        <v>0.1125</v>
      </c>
      <c r="D65" s="86">
        <v>5.5E-2</v>
      </c>
      <c r="E65" s="86">
        <v>9.5000000000000001E-2</v>
      </c>
      <c r="F65" s="86">
        <v>0.1</v>
      </c>
      <c r="G65" s="86">
        <v>0.05</v>
      </c>
      <c r="H65" s="86">
        <v>4.4800000000000006E-2</v>
      </c>
    </row>
    <row r="66" spans="2:8" x14ac:dyDescent="0.35">
      <c r="B66" s="4">
        <v>45688</v>
      </c>
      <c r="C66" s="86">
        <v>0.1225</v>
      </c>
      <c r="D66" s="86">
        <v>0.05</v>
      </c>
      <c r="E66" s="86">
        <v>9.5000000000000001E-2</v>
      </c>
      <c r="F66" s="86">
        <v>0.1</v>
      </c>
      <c r="G66" s="86">
        <v>4.7500000000000001E-2</v>
      </c>
      <c r="H66" s="86">
        <v>4.3299999999999998E-2</v>
      </c>
    </row>
    <row r="67" spans="2:8" x14ac:dyDescent="0.35">
      <c r="B67" s="4">
        <v>45716</v>
      </c>
      <c r="C67" s="86">
        <v>0.13250000000000001</v>
      </c>
      <c r="D67" s="86">
        <v>0.05</v>
      </c>
      <c r="E67" s="86">
        <v>9.5000000000000001E-2</v>
      </c>
      <c r="F67" s="86">
        <v>9.5000000000000001E-2</v>
      </c>
      <c r="G67" s="86">
        <v>4.7500000000000001E-2</v>
      </c>
      <c r="H67" s="86">
        <v>4.3299999999999998E-2</v>
      </c>
    </row>
    <row r="68" spans="2:8" x14ac:dyDescent="0.35">
      <c r="B68" s="4">
        <v>45747</v>
      </c>
      <c r="C68" s="86">
        <v>0.14249999999999999</v>
      </c>
      <c r="D68" s="86">
        <v>0.05</v>
      </c>
      <c r="E68" s="86">
        <v>9.5000000000000001E-2</v>
      </c>
      <c r="F68" s="86">
        <v>0.09</v>
      </c>
      <c r="G68" s="86">
        <v>4.7500000000000001E-2</v>
      </c>
      <c r="H68" s="86">
        <v>4.3299999999999998E-2</v>
      </c>
    </row>
    <row r="69" spans="2:8" x14ac:dyDescent="0.35">
      <c r="B69" s="4">
        <v>45777</v>
      </c>
      <c r="C69" s="86">
        <v>0.14749999999999999</v>
      </c>
      <c r="D69" s="86">
        <v>0.05</v>
      </c>
      <c r="E69" s="86">
        <v>9.5000000000000001E-2</v>
      </c>
      <c r="F69" s="86">
        <v>0.09</v>
      </c>
      <c r="G69" s="86">
        <v>4.7500000000000001E-2</v>
      </c>
      <c r="H69" s="86">
        <v>4.3299999999999998E-2</v>
      </c>
    </row>
    <row r="70" spans="2:8" x14ac:dyDescent="0.35">
      <c r="B70" s="4">
        <v>45808</v>
      </c>
      <c r="C70" s="86">
        <v>0.14749999999999999</v>
      </c>
      <c r="D70" s="86">
        <v>0.05</v>
      </c>
      <c r="E70" s="86">
        <v>9.2499999999999999E-2</v>
      </c>
      <c r="F70" s="86">
        <v>8.5000000000000006E-2</v>
      </c>
      <c r="G70" s="86">
        <v>4.4999999999999998E-2</v>
      </c>
      <c r="H70" s="86">
        <v>4.3299999999999998E-2</v>
      </c>
    </row>
    <row r="71" spans="2:8" x14ac:dyDescent="0.35">
      <c r="B71" s="4">
        <v>45838</v>
      </c>
      <c r="C71" s="86">
        <v>0.14749999999999999</v>
      </c>
      <c r="D71" s="86">
        <v>0.05</v>
      </c>
      <c r="E71" s="86">
        <v>9.2499999999999999E-2</v>
      </c>
      <c r="F71" s="86">
        <v>0.08</v>
      </c>
      <c r="G71" s="86">
        <v>4.4999999999999998E-2</v>
      </c>
      <c r="H71" s="86">
        <v>4.3299999999999998E-2</v>
      </c>
    </row>
    <row r="72" spans="2:8" x14ac:dyDescent="0.35">
      <c r="B72" s="4">
        <v>45869</v>
      </c>
      <c r="C72" s="86">
        <v>0.14749999999999999</v>
      </c>
      <c r="D72" s="86">
        <v>4.7500000000000001E-2</v>
      </c>
      <c r="E72" s="86">
        <v>9.2499999999999999E-2</v>
      </c>
      <c r="F72" s="86">
        <v>0.08</v>
      </c>
      <c r="G72" s="86">
        <v>4.4999999999999998E-2</v>
      </c>
      <c r="H72" s="86">
        <v>4.3299999999999998E-2</v>
      </c>
    </row>
    <row r="73" spans="2:8" x14ac:dyDescent="0.35">
      <c r="B73" s="4">
        <v>45900</v>
      </c>
      <c r="C73" s="86">
        <v>0.14749999999999999</v>
      </c>
      <c r="D73" s="86">
        <v>4.7500000000000001E-2</v>
      </c>
      <c r="E73" s="86">
        <v>9.2499999999999999E-2</v>
      </c>
      <c r="F73" s="86">
        <v>7.7499999999999999E-2</v>
      </c>
      <c r="G73" s="86">
        <v>4.4999999999999998E-2</v>
      </c>
      <c r="H73" s="86">
        <v>4.3299999999999998E-2</v>
      </c>
    </row>
    <row r="74" spans="2:8" x14ac:dyDescent="0.35">
      <c r="B74" s="4">
        <v>45930</v>
      </c>
      <c r="C74" s="86">
        <v>0.15</v>
      </c>
      <c r="D74" s="86">
        <v>4.7500000000000001E-2</v>
      </c>
      <c r="E74" s="86">
        <v>9.2499999999999999E-2</v>
      </c>
      <c r="F74" s="86">
        <v>7.4999999999999997E-2</v>
      </c>
      <c r="G74" s="86">
        <v>4.2500000000000003E-2</v>
      </c>
      <c r="H74" s="86">
        <v>4.2199999999999994E-2</v>
      </c>
    </row>
    <row r="75" spans="2:8" x14ac:dyDescent="0.35">
      <c r="B75" s="4">
        <v>45961</v>
      </c>
      <c r="C75" s="86">
        <v>0.15</v>
      </c>
      <c r="D75" s="86">
        <v>4.7500000000000001E-2</v>
      </c>
      <c r="E75" s="86">
        <v>9.2499999999999999E-2</v>
      </c>
      <c r="F75" s="86">
        <v>7.4999999999999997E-2</v>
      </c>
      <c r="G75" s="86">
        <v>4.2500000000000003E-2</v>
      </c>
      <c r="H75" s="86">
        <v>4.0899999999999999E-2</v>
      </c>
    </row>
    <row r="76" spans="2:8" x14ac:dyDescent="0.35">
      <c r="B76" s="4">
        <v>45991</v>
      </c>
      <c r="C76" s="86">
        <v>0.15</v>
      </c>
      <c r="D76" s="86">
        <v>4.7500000000000001E-2</v>
      </c>
      <c r="E76" s="86">
        <v>9.2499999999999999E-2</v>
      </c>
      <c r="F76" s="86">
        <v>7.2499999999999995E-2</v>
      </c>
      <c r="G76" s="86">
        <v>4.2500000000000003E-2</v>
      </c>
      <c r="H76" s="86">
        <v>3.8800000000000001E-2</v>
      </c>
    </row>
    <row r="77" spans="2:8" x14ac:dyDescent="0.35">
      <c r="B77" s="4">
        <v>46022</v>
      </c>
      <c r="C77" s="86">
        <v>0.15</v>
      </c>
      <c r="D77" s="86">
        <v>4.7500000000000001E-2</v>
      </c>
      <c r="E77" s="86">
        <v>9.2499999999999999E-2</v>
      </c>
      <c r="F77" s="86">
        <v>7.0000000000000007E-2</v>
      </c>
      <c r="G77" s="86">
        <v>4.2500000000000003E-2</v>
      </c>
      <c r="H77" s="86">
        <v>3.7200000000000004E-2</v>
      </c>
    </row>
    <row r="78" spans="2:8" x14ac:dyDescent="0.35">
      <c r="B78" s="4">
        <v>46053</v>
      </c>
      <c r="C78" s="86">
        <v>0.15</v>
      </c>
      <c r="D78" s="86">
        <v>4.7500000000000001E-2</v>
      </c>
      <c r="E78" s="86">
        <v>9.2499999999999999E-2</v>
      </c>
      <c r="F78" s="86">
        <v>7.0000000000000007E-2</v>
      </c>
      <c r="G78" s="86">
        <v>4.2500000000000003E-2</v>
      </c>
      <c r="H78" s="86">
        <v>3.6400000000000002E-2</v>
      </c>
    </row>
    <row r="79" spans="2:8" x14ac:dyDescent="0.35">
      <c r="B79" s="4">
        <v>46081</v>
      </c>
      <c r="C79" s="86">
        <v>0.15</v>
      </c>
      <c r="D79" s="86">
        <v>4.7500000000000001E-2</v>
      </c>
      <c r="E79" s="86">
        <v>0.10249999999999999</v>
      </c>
      <c r="F79" s="86">
        <v>7.0000000000000007E-2</v>
      </c>
      <c r="G79" s="86">
        <v>4.2500000000000003E-2</v>
      </c>
      <c r="H79" s="86">
        <v>3.6400000000000002E-2</v>
      </c>
    </row>
    <row r="80" spans="2:8" x14ac:dyDescent="0.35">
      <c r="B80" s="4">
        <v>46112</v>
      </c>
      <c r="C80" s="86">
        <v>0.14749999999999999</v>
      </c>
      <c r="D80" s="86">
        <v>4.4999999999999998E-2</v>
      </c>
      <c r="E80" s="86">
        <v>0.1125</v>
      </c>
      <c r="F80" s="86">
        <v>6.7500000000000004E-2</v>
      </c>
      <c r="G80" s="86">
        <v>4.2500000000000003E-2</v>
      </c>
      <c r="H80" s="86">
        <v>3.6400000000000002E-2</v>
      </c>
    </row>
    <row r="81" spans="2:8" x14ac:dyDescent="0.35">
      <c r="B81" s="4">
        <v>46142</v>
      </c>
      <c r="C81" s="86">
        <v>0.14499999999999999</v>
      </c>
      <c r="D81" s="86">
        <v>4.4999999999999998E-2</v>
      </c>
      <c r="E81" s="86">
        <v>0.1125</v>
      </c>
      <c r="F81" s="86">
        <v>6.7500000000000004E-2</v>
      </c>
      <c r="G81" s="86">
        <v>4.2500000000000003E-2</v>
      </c>
      <c r="H81" s="86">
        <v>3.6400000000000002E-2</v>
      </c>
    </row>
    <row r="82" spans="2:8" x14ac:dyDescent="0.35">
      <c r="B82" s="4">
        <v>46173</v>
      </c>
      <c r="E82" s="86">
        <v>0.1125</v>
      </c>
      <c r="F82" s="86">
        <v>6.5000000000000002E-2</v>
      </c>
      <c r="H82" s="86">
        <v>3.6299999999999999E-2</v>
      </c>
    </row>
    <row r="83" spans="2:8" x14ac:dyDescent="0.35">
      <c r="B83" s="4">
        <v>46203</v>
      </c>
      <c r="E83" s="86">
        <v>0.12</v>
      </c>
      <c r="F83" s="86">
        <v>6.5000000000000002E-2</v>
      </c>
      <c r="H83" s="86">
        <v>3.6299999999999999E-2</v>
      </c>
    </row>
    <row r="84" spans="2:8" x14ac:dyDescent="0.35">
      <c r="B84" s="4">
        <v>46234</v>
      </c>
      <c r="E84" s="86">
        <v>0.12</v>
      </c>
      <c r="F84" s="86">
        <v>6.5000000000000002E-2</v>
      </c>
      <c r="H84" s="86">
        <v>3.6299999999999999E-2</v>
      </c>
    </row>
    <row r="85" spans="2:8" x14ac:dyDescent="0.35">
      <c r="B85" s="4">
        <v>46265</v>
      </c>
      <c r="F85" s="86">
        <v>6.5000000000000002E-2</v>
      </c>
      <c r="H85" s="86">
        <v>3.6299999999999999E-2</v>
      </c>
    </row>
    <row r="86" spans="2:8" x14ac:dyDescent="0.35">
      <c r="B86" s="4">
        <v>46295</v>
      </c>
      <c r="H86" s="86">
        <v>3.7499999999999999E-2</v>
      </c>
    </row>
    <row r="87" spans="2:8" x14ac:dyDescent="0.35">
      <c r="B87" s="4">
        <v>46326</v>
      </c>
    </row>
    <row r="88" spans="2:8" x14ac:dyDescent="0.35">
      <c r="B88" s="4">
        <v>46356</v>
      </c>
    </row>
    <row r="89" spans="2:8" x14ac:dyDescent="0.35">
      <c r="B89" s="4">
        <v>46387</v>
      </c>
    </row>
    <row r="90" spans="2:8" x14ac:dyDescent="0.35">
      <c r="B90" s="4">
        <v>46418</v>
      </c>
    </row>
    <row r="91" spans="2:8" x14ac:dyDescent="0.35">
      <c r="B91" s="4">
        <v>46446</v>
      </c>
    </row>
    <row r="104" spans="2:4" x14ac:dyDescent="0.35">
      <c r="B104" s="85" t="s">
        <v>247</v>
      </c>
      <c r="D104" s="14" t="s">
        <v>248</v>
      </c>
    </row>
    <row r="105" spans="2:4" x14ac:dyDescent="0.35">
      <c r="B105" s="85" t="s">
        <v>249</v>
      </c>
      <c r="D105" s="14" t="s">
        <v>250</v>
      </c>
    </row>
    <row r="106" spans="2:4" x14ac:dyDescent="0.35">
      <c r="B106" s="85" t="s">
        <v>251</v>
      </c>
      <c r="D106" s="14" t="s">
        <v>252</v>
      </c>
    </row>
  </sheetData>
  <hyperlinks>
    <hyperlink ref="D104" r:id="rId1" display="https://fred.stlouisfed.org/series/fedfunds" xr:uid="{E528CC6D-A329-4ABC-B067-C51229A70BFC}"/>
    <hyperlink ref="D105" r:id="rId2" xr:uid="{4A91A781-6790-44C0-B3CA-757A89377307}"/>
    <hyperlink ref="D106" r:id="rId3" xr:uid="{E62F9C2C-543F-4119-ABA4-93C32500A912}"/>
  </hyperlinks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8A0D-D501-49AC-9279-0F34AFBA0771}">
  <dimension ref="B3:D66"/>
  <sheetViews>
    <sheetView workbookViewId="0">
      <selection activeCell="B68" sqref="B68"/>
    </sheetView>
  </sheetViews>
  <sheetFormatPr baseColWidth="10" defaultRowHeight="14.5" x14ac:dyDescent="0.35"/>
  <sheetData>
    <row r="3" spans="2:2" ht="17.5" x14ac:dyDescent="0.35">
      <c r="B3" s="13" t="s">
        <v>127</v>
      </c>
    </row>
    <row r="5" spans="2:2" x14ac:dyDescent="0.35">
      <c r="B5" s="17" t="s">
        <v>135</v>
      </c>
    </row>
    <row r="6" spans="2:2" x14ac:dyDescent="0.35">
      <c r="B6" s="14" t="s">
        <v>134</v>
      </c>
    </row>
    <row r="7" spans="2:2" x14ac:dyDescent="0.35">
      <c r="B7" s="14"/>
    </row>
    <row r="8" spans="2:2" x14ac:dyDescent="0.35">
      <c r="B8" s="17" t="s">
        <v>138</v>
      </c>
    </row>
    <row r="9" spans="2:2" x14ac:dyDescent="0.35">
      <c r="B9" s="14" t="s">
        <v>137</v>
      </c>
    </row>
    <row r="11" spans="2:2" x14ac:dyDescent="0.35">
      <c r="B11" s="17" t="s">
        <v>140</v>
      </c>
    </row>
    <row r="12" spans="2:2" x14ac:dyDescent="0.35">
      <c r="B12" s="14" t="s">
        <v>139</v>
      </c>
    </row>
    <row r="14" spans="2:2" ht="17.5" x14ac:dyDescent="0.35">
      <c r="B14" s="13" t="s">
        <v>128</v>
      </c>
    </row>
    <row r="16" spans="2:2" x14ac:dyDescent="0.35">
      <c r="B16" s="17" t="s">
        <v>142</v>
      </c>
    </row>
    <row r="17" spans="2:4" x14ac:dyDescent="0.35">
      <c r="B17" s="14" t="s">
        <v>141</v>
      </c>
    </row>
    <row r="19" spans="2:4" x14ac:dyDescent="0.35">
      <c r="B19" s="17" t="s">
        <v>145</v>
      </c>
      <c r="D19" t="s">
        <v>147</v>
      </c>
    </row>
    <row r="20" spans="2:4" x14ac:dyDescent="0.35">
      <c r="B20" s="14" t="s">
        <v>146</v>
      </c>
    </row>
    <row r="21" spans="2:4" x14ac:dyDescent="0.35">
      <c r="B21" s="14"/>
    </row>
    <row r="22" spans="2:4" x14ac:dyDescent="0.35">
      <c r="B22" s="17" t="s">
        <v>148</v>
      </c>
    </row>
    <row r="23" spans="2:4" x14ac:dyDescent="0.35">
      <c r="B23" s="14" t="s">
        <v>149</v>
      </c>
    </row>
    <row r="24" spans="2:4" x14ac:dyDescent="0.35">
      <c r="B24" s="14"/>
    </row>
    <row r="25" spans="2:4" x14ac:dyDescent="0.35">
      <c r="B25" s="17" t="s">
        <v>152</v>
      </c>
    </row>
    <row r="26" spans="2:4" x14ac:dyDescent="0.35">
      <c r="B26" s="14" t="s">
        <v>150</v>
      </c>
    </row>
    <row r="28" spans="2:4" ht="17.5" x14ac:dyDescent="0.35">
      <c r="B28" s="13" t="s">
        <v>129</v>
      </c>
    </row>
    <row r="30" spans="2:4" x14ac:dyDescent="0.35">
      <c r="B30" s="17" t="s">
        <v>155</v>
      </c>
    </row>
    <row r="31" spans="2:4" x14ac:dyDescent="0.35">
      <c r="B31" t="s">
        <v>151</v>
      </c>
    </row>
    <row r="33" spans="2:2" x14ac:dyDescent="0.35">
      <c r="B33" s="17" t="s">
        <v>154</v>
      </c>
    </row>
    <row r="34" spans="2:2" x14ac:dyDescent="0.35">
      <c r="B34" s="14" t="s">
        <v>153</v>
      </c>
    </row>
    <row r="36" spans="2:2" x14ac:dyDescent="0.35">
      <c r="B36" s="17" t="s">
        <v>157</v>
      </c>
    </row>
    <row r="37" spans="2:2" x14ac:dyDescent="0.35">
      <c r="B37" s="14" t="s">
        <v>156</v>
      </c>
    </row>
    <row r="39" spans="2:2" x14ac:dyDescent="0.35">
      <c r="B39" s="17" t="s">
        <v>159</v>
      </c>
    </row>
    <row r="40" spans="2:2" x14ac:dyDescent="0.35">
      <c r="B40" s="14" t="s">
        <v>158</v>
      </c>
    </row>
    <row r="42" spans="2:2" ht="17.5" x14ac:dyDescent="0.35">
      <c r="B42" s="13" t="s">
        <v>130</v>
      </c>
    </row>
    <row r="44" spans="2:2" x14ac:dyDescent="0.35">
      <c r="B44" s="17" t="s">
        <v>162</v>
      </c>
    </row>
    <row r="45" spans="2:2" x14ac:dyDescent="0.35">
      <c r="B45" s="14" t="s">
        <v>161</v>
      </c>
    </row>
    <row r="46" spans="2:2" x14ac:dyDescent="0.35">
      <c r="B46" s="14"/>
    </row>
    <row r="47" spans="2:2" x14ac:dyDescent="0.35">
      <c r="B47" s="17" t="s">
        <v>164</v>
      </c>
    </row>
    <row r="48" spans="2:2" x14ac:dyDescent="0.35">
      <c r="B48" s="14" t="s">
        <v>163</v>
      </c>
    </row>
    <row r="50" spans="2:2" x14ac:dyDescent="0.35">
      <c r="B50" s="17" t="s">
        <v>166</v>
      </c>
    </row>
    <row r="51" spans="2:2" x14ac:dyDescent="0.35">
      <c r="B51" s="14" t="s">
        <v>165</v>
      </c>
    </row>
    <row r="52" spans="2:2" x14ac:dyDescent="0.35">
      <c r="B52" s="14"/>
    </row>
    <row r="53" spans="2:2" ht="17.5" x14ac:dyDescent="0.35">
      <c r="B53" s="13" t="s">
        <v>131</v>
      </c>
    </row>
    <row r="55" spans="2:2" x14ac:dyDescent="0.35">
      <c r="B55" s="17" t="s">
        <v>168</v>
      </c>
    </row>
    <row r="56" spans="2:2" x14ac:dyDescent="0.35">
      <c r="B56" s="14" t="s">
        <v>167</v>
      </c>
    </row>
    <row r="58" spans="2:2" x14ac:dyDescent="0.35">
      <c r="B58" s="17" t="s">
        <v>169</v>
      </c>
    </row>
    <row r="59" spans="2:2" x14ac:dyDescent="0.35">
      <c r="B59" s="14" t="s">
        <v>170</v>
      </c>
    </row>
    <row r="61" spans="2:2" x14ac:dyDescent="0.35">
      <c r="B61" s="17" t="s">
        <v>172</v>
      </c>
    </row>
    <row r="62" spans="2:2" x14ac:dyDescent="0.35">
      <c r="B62" s="14" t="s">
        <v>171</v>
      </c>
    </row>
    <row r="64" spans="2:2" ht="17.5" x14ac:dyDescent="0.35">
      <c r="B64" s="13" t="s">
        <v>132</v>
      </c>
    </row>
    <row r="66" spans="2:2" x14ac:dyDescent="0.35">
      <c r="B66" s="14" t="s">
        <v>133</v>
      </c>
    </row>
  </sheetData>
  <hyperlinks>
    <hyperlink ref="B5" r:id="rId1" display="https://si3.bcentral.cl/estadisticas/Principal1/excel/CCNN/IMACEC/Excel/IMACEC.xlsx" xr:uid="{447E709D-81F5-4A90-AF93-1FCA8306861C}"/>
    <hyperlink ref="B8" r:id="rId2" display="https://www.dane.gov.co/index.php/estadisticas-por-tema/cuentas-nacionales/indicador-de-seguimiento-a-la-economia-ise" xr:uid="{485DE877-AF92-4596-97DC-4965067E9DF9}"/>
    <hyperlink ref="B11" r:id="rId3" display="https://www.inegi.org.mx/contenidos/programas/igae/2018/tabulados/ori/IGAE_2.xlsx" xr:uid="{0571A9E2-9640-4871-8F50-AEE268E553D1}"/>
    <hyperlink ref="B16" r:id="rId4" display="https://www.ibge.gov.br/estatisticas/economicas/comercio/9227-pesquisa-mensal-de-comercio.html" xr:uid="{A86B4586-ABED-43CF-8E61-3AFCBEE0A815}"/>
    <hyperlink ref="B19" r:id="rId5" display="https://www.ine.gob.cl/docs/default-source/actividad-mensual-del-comercio/cuadros-estadisticos/base-promedio-a%C3%B1o-2018-100/series-mensuales-desde-enero-de-2018-a-la-fecha.xlsx" xr:uid="{C4656952-BD3F-42DD-9C5D-2F6748CD971C}"/>
    <hyperlink ref="B22" r:id="rId6" display="https://www.dane.gov.co/index.php/estadisticas-por-tema/comercio-interno/encuesta-mensual-de-comercio-emc" xr:uid="{1E8AFF66-CF01-4B3F-94EE-550139BA84E3}"/>
    <hyperlink ref="B25" r:id="rId7" display="https://www.inegi.org.mx/app/tabulados/interactivos/?px=EMEC_NACIONAL_0&amp;bd=EMEC" xr:uid="{AF997808-477F-4001-8208-6EF46CDA7F0F}"/>
    <hyperlink ref="B30" r:id="rId8" display="https://www.portaldaindustria.com.br/estatisticas/icei-indice-de-confianca-do-empresario-industrial/" xr:uid="{3A44ABB1-1C64-4C72-9A35-351F97E17E65}"/>
    <hyperlink ref="B36" r:id="rId9" display="https://www.repository.fedesarrollo.org.co/handle/11445/37" xr:uid="{4769F9B5-B4FA-44AA-BBF0-1C7FF45ECEE8}"/>
    <hyperlink ref="B39" r:id="rId10" display="https://www.inegi.org.mx/app/tabulados/default.html?nc=100100061&amp;idrt=28&amp;opc=t" xr:uid="{35D07C08-57FD-4AF8-8362-FC526D7C2F8C}"/>
    <hyperlink ref="B44" r:id="rId11" display="https://si3.bcentral.cl/Siete/ES/Siete/Cuadro/CAP_EXP_ECO/MN_EXP_EC11/IPSOS_ICC_M/638427307428609836" xr:uid="{2A2C5983-576F-4963-9A13-366D86448A95}"/>
    <hyperlink ref="B47" r:id="rId12" display="https://www.repository.fedesarrollo.org.co/handle/11445/36" xr:uid="{3E0C4AD0-4850-42EA-9088-91FE36F89A78}"/>
    <hyperlink ref="B50" r:id="rId13" display="https://www.inegi.org.mx/contenidos/programas/enco/tabulados/enco_b_indicador_de_confianza_del_consumidor.xlsx" xr:uid="{F949E4E4-F555-47CA-AED3-FFAAC6D7A0CC}"/>
    <hyperlink ref="B55" r:id="rId14" display="https://si3.bcentral.cl/Siete/ES/Siete/Cuadro/CAP_PRECIOS/MN_CAP_PRECIOS/IPC_VAR_ANUAL_HIST_NEW" xr:uid="{C828E9F6-84B2-4483-AC8E-FC303A1BB785}"/>
    <hyperlink ref="B58" r:id="rId15" display="https://www.dane.gov.co/index.php/estadisticas-por-tema/precios-y-costos/indice-de-precios-al-consumidor-ipc" xr:uid="{E61F3578-E2F5-4DCE-8785-81AF2BFC4125}"/>
    <hyperlink ref="B61" r:id="rId16" display="https://www.inegi.org.mx/temas/inpc/" xr:uid="{242D5319-0349-4514-9F37-4402CCBD595B}"/>
    <hyperlink ref="B66" r:id="rId17" display="https://antad.net/" xr:uid="{1454E5E1-6278-4BC6-A504-E1C832C42D29}"/>
    <hyperlink ref="B6" r:id="rId18" xr:uid="{9221DB56-429B-48BF-844A-595DA3267AC6}"/>
    <hyperlink ref="B9" r:id="rId19" xr:uid="{F4E4A9E5-444E-47F0-84E6-956ED52279D8}"/>
    <hyperlink ref="B12" r:id="rId20" xr:uid="{35C836DF-EDED-4392-B389-0939CA334DFA}"/>
    <hyperlink ref="B17" r:id="rId21" xr:uid="{15E5814F-816A-4BED-B0DA-B6BA08FC53E9}"/>
    <hyperlink ref="B20" r:id="rId22" xr:uid="{CCAD2EC1-B82B-4A95-8EB0-6478C063FC5F}"/>
    <hyperlink ref="B23" r:id="rId23" xr:uid="{C3953856-68D4-43F5-83EB-BF76CCDDAA79}"/>
    <hyperlink ref="B26" r:id="rId24" xr:uid="{E24D0550-93DD-4277-956F-77B7CFD9FD78}"/>
    <hyperlink ref="B33" r:id="rId25" display="https://si3.bcentral.cl/siete/ES/Siete/Cuadro/CAP_BDP/MN_EXP_EC11/EXE_IMCE_TOTAL" xr:uid="{FA64DF33-3C18-4448-9E6D-16233961E8A9}"/>
    <hyperlink ref="B34" r:id="rId26" xr:uid="{8C3379FB-B412-45D8-8F8F-97E398CB4D12}"/>
    <hyperlink ref="B37" r:id="rId27" xr:uid="{0FA23EA9-4663-4A60-A9BC-62D4D9CD8B7E}"/>
    <hyperlink ref="B40" r:id="rId28" xr:uid="{4F6A7B32-ADDF-402E-A751-214393626193}"/>
    <hyperlink ref="B45" r:id="rId29" xr:uid="{8FF1FE5B-7DD0-4186-8ECC-75B3E614BE15}"/>
    <hyperlink ref="B48" r:id="rId30" xr:uid="{2D501FC7-1F90-4BAA-8BAF-85FEDD59F930}"/>
    <hyperlink ref="B51" r:id="rId31" xr:uid="{E5AE9FA2-F999-41AF-A899-E1C276D4FF5E}"/>
    <hyperlink ref="B56" r:id="rId32" xr:uid="{6FE3BB02-CD72-4119-B7DD-588478375B89}"/>
    <hyperlink ref="B59" r:id="rId33" xr:uid="{FF85BB76-CCFA-4BB2-A11A-5DA5B7F8D2EC}"/>
    <hyperlink ref="B62" r:id="rId34" xr:uid="{35FD0B65-940C-4C7D-B540-E3CF0E57051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D776-3F2D-4F03-89A8-C1A676842308}">
  <dimension ref="B3:U34"/>
  <sheetViews>
    <sheetView workbookViewId="0">
      <selection activeCell="L25" sqref="L25"/>
    </sheetView>
  </sheetViews>
  <sheetFormatPr baseColWidth="10" defaultRowHeight="14.5" x14ac:dyDescent="0.35"/>
  <sheetData>
    <row r="3" spans="2:11" x14ac:dyDescent="0.35">
      <c r="C3" s="32">
        <v>2020</v>
      </c>
      <c r="D3" s="32">
        <f>C3+1</f>
        <v>2021</v>
      </c>
      <c r="E3" s="32">
        <f t="shared" ref="E3:K3" si="0">D3+1</f>
        <v>2022</v>
      </c>
      <c r="F3" s="32">
        <f t="shared" si="0"/>
        <v>2023</v>
      </c>
      <c r="G3" s="32">
        <f t="shared" si="0"/>
        <v>2024</v>
      </c>
      <c r="H3" s="32">
        <f t="shared" si="0"/>
        <v>2025</v>
      </c>
      <c r="I3" s="33">
        <f t="shared" si="0"/>
        <v>2026</v>
      </c>
      <c r="J3" s="33">
        <f t="shared" si="0"/>
        <v>2027</v>
      </c>
      <c r="K3" s="33">
        <f t="shared" si="0"/>
        <v>2028</v>
      </c>
    </row>
    <row r="4" spans="2:11" x14ac:dyDescent="0.35">
      <c r="B4" t="s">
        <v>174</v>
      </c>
      <c r="C4" s="30">
        <v>-7.19</v>
      </c>
      <c r="D4" s="30">
        <v>10.8</v>
      </c>
      <c r="E4" s="30">
        <v>7.33</v>
      </c>
      <c r="F4" s="30">
        <v>0.84</v>
      </c>
      <c r="G4" s="30">
        <v>1.49</v>
      </c>
      <c r="H4" s="30">
        <v>2.64</v>
      </c>
      <c r="I4" s="30">
        <v>2.19</v>
      </c>
      <c r="J4" s="30">
        <v>2.4</v>
      </c>
      <c r="K4" s="30">
        <v>2.85</v>
      </c>
    </row>
    <row r="23" spans="2:21" x14ac:dyDescent="0.35">
      <c r="F23" s="41" t="s">
        <v>187</v>
      </c>
      <c r="G23" s="41"/>
      <c r="H23" s="41"/>
      <c r="I23" s="41"/>
      <c r="J23" s="41" t="s">
        <v>188</v>
      </c>
      <c r="K23" s="41"/>
      <c r="L23" s="41"/>
      <c r="M23" s="41"/>
      <c r="N23" s="41" t="s">
        <v>189</v>
      </c>
      <c r="O23" s="41"/>
      <c r="P23" s="41"/>
      <c r="Q23" s="41"/>
      <c r="R23" s="41" t="s">
        <v>190</v>
      </c>
      <c r="S23" s="41"/>
      <c r="T23" s="41"/>
      <c r="U23" s="41"/>
    </row>
    <row r="24" spans="2:21" x14ac:dyDescent="0.35">
      <c r="D24" t="s">
        <v>182</v>
      </c>
      <c r="E24" t="s">
        <v>183</v>
      </c>
      <c r="F24">
        <v>2024</v>
      </c>
      <c r="G24" t="s">
        <v>184</v>
      </c>
      <c r="H24" t="s">
        <v>185</v>
      </c>
      <c r="I24" t="s">
        <v>186</v>
      </c>
      <c r="J24">
        <v>2024</v>
      </c>
      <c r="K24" t="s">
        <v>184</v>
      </c>
      <c r="L24" t="s">
        <v>185</v>
      </c>
      <c r="M24" t="s">
        <v>186</v>
      </c>
      <c r="N24">
        <v>2024</v>
      </c>
      <c r="O24" t="s">
        <v>184</v>
      </c>
      <c r="P24" t="s">
        <v>185</v>
      </c>
      <c r="Q24" t="s">
        <v>186</v>
      </c>
      <c r="R24">
        <v>2024</v>
      </c>
      <c r="S24" t="s">
        <v>184</v>
      </c>
      <c r="T24" t="s">
        <v>185</v>
      </c>
      <c r="U24" t="s">
        <v>186</v>
      </c>
    </row>
    <row r="25" spans="2:21" x14ac:dyDescent="0.35">
      <c r="B25" t="s">
        <v>175</v>
      </c>
      <c r="D25" t="s">
        <v>176</v>
      </c>
      <c r="E25" t="s">
        <v>177</v>
      </c>
      <c r="F25">
        <v>-6.3</v>
      </c>
      <c r="G25">
        <v>-1.1000000000000001</v>
      </c>
      <c r="H25">
        <v>-0.8</v>
      </c>
      <c r="I25">
        <v>0.1</v>
      </c>
      <c r="J25">
        <v>5.2</v>
      </c>
      <c r="K25">
        <v>5.4</v>
      </c>
      <c r="L25">
        <v>5.0999999999999996</v>
      </c>
      <c r="M25">
        <v>5.2</v>
      </c>
      <c r="N25">
        <v>1.7</v>
      </c>
      <c r="O25">
        <v>-0.3</v>
      </c>
      <c r="P25">
        <v>0.1</v>
      </c>
      <c r="Q25">
        <v>0.2</v>
      </c>
      <c r="R25" s="35">
        <v>2.2000000000000002</v>
      </c>
      <c r="S25" s="35">
        <v>2</v>
      </c>
      <c r="T25" s="35">
        <v>2.1</v>
      </c>
      <c r="U25" s="35">
        <v>1.9</v>
      </c>
    </row>
    <row r="26" spans="2:21" x14ac:dyDescent="0.35">
      <c r="B26" t="s">
        <v>178</v>
      </c>
      <c r="D26" t="s">
        <v>179</v>
      </c>
      <c r="E26" t="s">
        <v>180</v>
      </c>
      <c r="F26">
        <v>15.9</v>
      </c>
      <c r="G26">
        <v>-3.1</v>
      </c>
      <c r="H26">
        <v>230</v>
      </c>
      <c r="I26">
        <v>6.8</v>
      </c>
      <c r="J26">
        <v>5.5</v>
      </c>
      <c r="K26">
        <v>4.9000000000000004</v>
      </c>
      <c r="L26">
        <v>3.7</v>
      </c>
      <c r="M26">
        <v>3.8</v>
      </c>
      <c r="N26">
        <v>0</v>
      </c>
      <c r="O26">
        <v>0.6</v>
      </c>
      <c r="P26">
        <v>0.5</v>
      </c>
      <c r="Q26">
        <v>1.3</v>
      </c>
      <c r="R26" s="35">
        <v>2.2999999999999998</v>
      </c>
      <c r="S26" s="35">
        <v>2.7</v>
      </c>
      <c r="T26" s="35">
        <v>3.1</v>
      </c>
      <c r="U26" s="35">
        <v>2.6</v>
      </c>
    </row>
    <row r="27" spans="2:21" x14ac:dyDescent="0.35">
      <c r="B27" t="s">
        <v>181</v>
      </c>
      <c r="D27" t="s">
        <v>179</v>
      </c>
      <c r="E27" t="s">
        <v>180</v>
      </c>
      <c r="F27">
        <v>16.2</v>
      </c>
      <c r="G27">
        <v>2.2000000000000002</v>
      </c>
      <c r="H27">
        <v>5.6</v>
      </c>
      <c r="I27">
        <v>6.9</v>
      </c>
      <c r="J27">
        <v>3</v>
      </c>
      <c r="K27">
        <v>2.7</v>
      </c>
      <c r="L27">
        <v>2.8</v>
      </c>
      <c r="M27">
        <v>2.8</v>
      </c>
      <c r="N27">
        <v>0.8</v>
      </c>
      <c r="O27">
        <v>0</v>
      </c>
      <c r="P27">
        <v>0.1</v>
      </c>
      <c r="Q27">
        <v>0</v>
      </c>
      <c r="R27" s="35">
        <v>2.1</v>
      </c>
      <c r="S27" s="35">
        <v>2.2999999999999998</v>
      </c>
      <c r="T27" s="35">
        <v>2.1</v>
      </c>
      <c r="U27" s="35">
        <v>2</v>
      </c>
    </row>
    <row r="28" spans="2:21" x14ac:dyDescent="0.35">
      <c r="B28" t="s">
        <v>191</v>
      </c>
      <c r="J28">
        <v>12.8</v>
      </c>
      <c r="K28">
        <v>16.8</v>
      </c>
      <c r="L28">
        <v>18.5</v>
      </c>
      <c r="M28">
        <v>20</v>
      </c>
      <c r="R28" s="35">
        <v>1.8</v>
      </c>
      <c r="S28" s="35">
        <v>4.3</v>
      </c>
      <c r="T28" s="35">
        <v>3.5</v>
      </c>
      <c r="U28" s="35">
        <v>3</v>
      </c>
    </row>
    <row r="30" spans="2:21" x14ac:dyDescent="0.35">
      <c r="J30">
        <f>AVERAGE(J25:J28)</f>
        <v>6.625</v>
      </c>
      <c r="K30">
        <f t="shared" ref="K30:M30" si="1">AVERAGE(K25:K28)</f>
        <v>7.45</v>
      </c>
      <c r="L30">
        <f t="shared" si="1"/>
        <v>7.5250000000000004</v>
      </c>
      <c r="M30">
        <f t="shared" si="1"/>
        <v>7.95</v>
      </c>
      <c r="R30">
        <f>AVERAGE(R25:R28)</f>
        <v>2.1</v>
      </c>
      <c r="S30">
        <f t="shared" ref="S30:U30" si="2">AVERAGE(S25:S28)</f>
        <v>2.8250000000000002</v>
      </c>
      <c r="T30">
        <f t="shared" si="2"/>
        <v>2.7</v>
      </c>
      <c r="U30">
        <f t="shared" si="2"/>
        <v>2.375</v>
      </c>
    </row>
    <row r="32" spans="2:21" x14ac:dyDescent="0.35">
      <c r="J32">
        <v>2024</v>
      </c>
      <c r="K32">
        <v>2025</v>
      </c>
      <c r="L32" s="36" t="s">
        <v>192</v>
      </c>
      <c r="M32" s="36" t="s">
        <v>193</v>
      </c>
    </row>
    <row r="33" spans="9:13" x14ac:dyDescent="0.35">
      <c r="I33" t="s">
        <v>203</v>
      </c>
      <c r="J33" s="34">
        <f>J30/100</f>
        <v>6.6250000000000003E-2</v>
      </c>
      <c r="K33" s="34">
        <f>K30/100</f>
        <v>7.4499999999999997E-2</v>
      </c>
      <c r="L33" s="34">
        <f>L30/100</f>
        <v>7.5249999999999997E-2</v>
      </c>
      <c r="M33" s="34">
        <f>M30/100</f>
        <v>7.9500000000000001E-2</v>
      </c>
    </row>
    <row r="34" spans="9:13" x14ac:dyDescent="0.35">
      <c r="I34" t="s">
        <v>204</v>
      </c>
      <c r="J34" s="35">
        <v>2.1</v>
      </c>
      <c r="K34" s="35">
        <v>2.8250000000000002</v>
      </c>
      <c r="L34" s="35">
        <v>2.7</v>
      </c>
      <c r="M34" s="35">
        <v>2.375</v>
      </c>
    </row>
  </sheetData>
  <mergeCells count="4">
    <mergeCell ref="F23:I23"/>
    <mergeCell ref="J23:M23"/>
    <mergeCell ref="N23:Q23"/>
    <mergeCell ref="R23:U23"/>
  </mergeCells>
  <pageMargins left="0.7" right="0.7" top="0.75" bottom="0.75" header="0.3" footer="0.3"/>
  <ignoredErrors>
    <ignoredError sqref="R30 J30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84BF-49A5-4355-9421-863A5B716839}">
  <dimension ref="B3:T36"/>
  <sheetViews>
    <sheetView workbookViewId="0">
      <selection activeCell="C4" sqref="C4"/>
    </sheetView>
  </sheetViews>
  <sheetFormatPr baseColWidth="10" defaultRowHeight="14.5" x14ac:dyDescent="0.35"/>
  <sheetData>
    <row r="3" spans="2:11" x14ac:dyDescent="0.35">
      <c r="C3" s="32">
        <v>2020</v>
      </c>
      <c r="D3" s="32">
        <f>C3+1</f>
        <v>2021</v>
      </c>
      <c r="E3" s="32">
        <f t="shared" ref="E3:K3" si="0">D3+1</f>
        <v>2022</v>
      </c>
      <c r="F3" s="32">
        <f t="shared" si="0"/>
        <v>2023</v>
      </c>
      <c r="G3" s="32">
        <f t="shared" si="0"/>
        <v>2024</v>
      </c>
      <c r="H3" s="32">
        <f t="shared" si="0"/>
        <v>2025</v>
      </c>
      <c r="I3" s="33">
        <f t="shared" si="0"/>
        <v>2026</v>
      </c>
      <c r="J3" s="33">
        <f t="shared" si="0"/>
        <v>2027</v>
      </c>
      <c r="K3" s="33">
        <f t="shared" si="0"/>
        <v>2028</v>
      </c>
    </row>
    <row r="4" spans="2:11" x14ac:dyDescent="0.35">
      <c r="B4" t="s">
        <v>174</v>
      </c>
      <c r="C4" s="30">
        <v>-8.56</v>
      </c>
      <c r="D4" s="30">
        <v>6.28</v>
      </c>
      <c r="E4" s="30">
        <v>3.71</v>
      </c>
      <c r="F4" s="30">
        <v>3.11</v>
      </c>
      <c r="G4" s="30">
        <v>1.1100000000000001</v>
      </c>
      <c r="H4" s="30">
        <v>0.79</v>
      </c>
      <c r="I4">
        <v>0.6</v>
      </c>
      <c r="J4">
        <v>1.3</v>
      </c>
      <c r="K4">
        <v>1.9</v>
      </c>
    </row>
    <row r="23" spans="2:20" x14ac:dyDescent="0.35">
      <c r="E23" s="41" t="s">
        <v>187</v>
      </c>
      <c r="F23" s="41"/>
      <c r="G23" s="41"/>
      <c r="H23" s="41"/>
      <c r="I23" s="41" t="s">
        <v>188</v>
      </c>
      <c r="J23" s="41"/>
      <c r="K23" s="41"/>
      <c r="L23" s="41"/>
      <c r="M23" s="41" t="s">
        <v>189</v>
      </c>
      <c r="N23" s="41"/>
      <c r="O23" s="41"/>
      <c r="P23" s="41"/>
      <c r="Q23" s="41" t="s">
        <v>190</v>
      </c>
      <c r="R23" s="41"/>
      <c r="S23" s="41"/>
      <c r="T23" s="41"/>
    </row>
    <row r="24" spans="2:20" x14ac:dyDescent="0.35">
      <c r="C24" t="s">
        <v>182</v>
      </c>
      <c r="D24" t="s">
        <v>183</v>
      </c>
      <c r="E24">
        <v>2024</v>
      </c>
      <c r="F24" t="s">
        <v>184</v>
      </c>
      <c r="G24" t="s">
        <v>185</v>
      </c>
      <c r="H24" t="s">
        <v>186</v>
      </c>
      <c r="I24">
        <v>2024</v>
      </c>
      <c r="J24" t="s">
        <v>184</v>
      </c>
      <c r="K24" t="s">
        <v>185</v>
      </c>
      <c r="L24" t="s">
        <v>186</v>
      </c>
      <c r="M24">
        <v>2024</v>
      </c>
      <c r="N24" t="s">
        <v>184</v>
      </c>
      <c r="O24" t="s">
        <v>185</v>
      </c>
      <c r="P24" t="s">
        <v>186</v>
      </c>
      <c r="Q24">
        <v>2024</v>
      </c>
      <c r="R24" t="s">
        <v>184</v>
      </c>
      <c r="S24" t="s">
        <v>185</v>
      </c>
      <c r="T24" t="s">
        <v>186</v>
      </c>
    </row>
    <row r="25" spans="2:20" x14ac:dyDescent="0.35">
      <c r="B25" t="s">
        <v>194</v>
      </c>
      <c r="C25" t="s">
        <v>195</v>
      </c>
      <c r="D25" t="s">
        <v>177</v>
      </c>
      <c r="E25">
        <v>9.6</v>
      </c>
      <c r="F25">
        <v>5</v>
      </c>
      <c r="G25">
        <v>5</v>
      </c>
      <c r="H25">
        <v>6.3</v>
      </c>
      <c r="I25">
        <v>17.5</v>
      </c>
      <c r="J25">
        <v>15.9</v>
      </c>
      <c r="K25">
        <v>16.3</v>
      </c>
      <c r="L25">
        <v>16.7</v>
      </c>
      <c r="M25">
        <v>-1</v>
      </c>
      <c r="N25">
        <v>0</v>
      </c>
      <c r="O25">
        <v>4.7</v>
      </c>
      <c r="P25">
        <v>6.1</v>
      </c>
      <c r="Q25" s="35">
        <v>1</v>
      </c>
      <c r="R25" s="35">
        <v>1.6</v>
      </c>
      <c r="S25" s="35">
        <v>1.3</v>
      </c>
      <c r="T25" s="35">
        <v>1.1000000000000001</v>
      </c>
    </row>
    <row r="26" spans="2:20" x14ac:dyDescent="0.35">
      <c r="B26" t="s">
        <v>196</v>
      </c>
      <c r="C26" t="s">
        <v>197</v>
      </c>
      <c r="D26" t="s">
        <v>177</v>
      </c>
      <c r="E26">
        <v>11.1</v>
      </c>
      <c r="F26">
        <v>8.4</v>
      </c>
      <c r="G26">
        <v>9.1</v>
      </c>
      <c r="H26">
        <v>11.4</v>
      </c>
      <c r="I26">
        <v>14.1</v>
      </c>
      <c r="J26">
        <v>14.2</v>
      </c>
      <c r="K26">
        <v>14.3</v>
      </c>
      <c r="L26">
        <v>14.2</v>
      </c>
      <c r="M26">
        <v>-3.3</v>
      </c>
      <c r="N26">
        <v>-0.3</v>
      </c>
      <c r="O26">
        <v>0.4</v>
      </c>
      <c r="P26">
        <v>-0.1</v>
      </c>
      <c r="Q26" s="35">
        <v>1.6</v>
      </c>
      <c r="R26" s="35">
        <v>1.6</v>
      </c>
      <c r="S26" s="35">
        <v>1.5</v>
      </c>
      <c r="T26" s="35">
        <v>1.4</v>
      </c>
    </row>
    <row r="27" spans="2:20" x14ac:dyDescent="0.35">
      <c r="B27" t="s">
        <v>198</v>
      </c>
      <c r="C27" t="s">
        <v>197</v>
      </c>
      <c r="D27" t="s">
        <v>177</v>
      </c>
      <c r="E27">
        <v>0</v>
      </c>
      <c r="F27">
        <v>0.9</v>
      </c>
      <c r="G27">
        <v>3.1</v>
      </c>
      <c r="H27">
        <v>3.9</v>
      </c>
      <c r="I27">
        <v>9.5</v>
      </c>
      <c r="J27">
        <v>9</v>
      </c>
      <c r="K27">
        <v>9.3000000000000007</v>
      </c>
      <c r="L27">
        <v>9.6</v>
      </c>
      <c r="M27">
        <v>1.9</v>
      </c>
      <c r="N27">
        <v>4.4000000000000004</v>
      </c>
      <c r="O27">
        <v>2</v>
      </c>
      <c r="P27">
        <v>1.8</v>
      </c>
      <c r="Q27" s="35">
        <v>0.8</v>
      </c>
      <c r="R27" s="35">
        <v>0.8</v>
      </c>
      <c r="S27" s="35">
        <v>0.7</v>
      </c>
      <c r="T27" s="35">
        <v>0.7</v>
      </c>
    </row>
    <row r="28" spans="2:20" x14ac:dyDescent="0.35">
      <c r="B28" t="s">
        <v>199</v>
      </c>
      <c r="C28" t="s">
        <v>200</v>
      </c>
      <c r="D28" t="s">
        <v>177</v>
      </c>
      <c r="E28">
        <v>9.6999999999999993</v>
      </c>
      <c r="F28">
        <v>8.8000000000000007</v>
      </c>
      <c r="G28">
        <v>7.2</v>
      </c>
      <c r="H28">
        <v>7.6</v>
      </c>
      <c r="I28">
        <v>10.3</v>
      </c>
      <c r="J28">
        <v>10.5</v>
      </c>
      <c r="K28">
        <v>10.5</v>
      </c>
      <c r="L28">
        <v>10.7</v>
      </c>
      <c r="M28">
        <v>-3.6</v>
      </c>
      <c r="N28">
        <v>-5.3</v>
      </c>
      <c r="O28">
        <v>-4.9000000000000004</v>
      </c>
      <c r="P28">
        <v>-0.3</v>
      </c>
      <c r="Q28" s="35">
        <v>3.2</v>
      </c>
      <c r="R28" s="35">
        <v>2.9</v>
      </c>
      <c r="S28" s="35">
        <v>2.6</v>
      </c>
      <c r="T28" s="35">
        <v>2.5</v>
      </c>
    </row>
    <row r="29" spans="2:20" x14ac:dyDescent="0.35">
      <c r="B29" t="s">
        <v>201</v>
      </c>
      <c r="C29" t="s">
        <v>197</v>
      </c>
      <c r="D29" t="s">
        <v>177</v>
      </c>
      <c r="E29">
        <v>7.1</v>
      </c>
      <c r="F29">
        <v>4.9000000000000004</v>
      </c>
      <c r="G29">
        <v>4.4000000000000004</v>
      </c>
      <c r="H29">
        <v>4.5</v>
      </c>
      <c r="I29">
        <v>8.4</v>
      </c>
      <c r="J29">
        <v>8.1</v>
      </c>
      <c r="K29">
        <v>8.1</v>
      </c>
      <c r="L29">
        <v>8.3000000000000007</v>
      </c>
      <c r="M29">
        <v>-0.4</v>
      </c>
      <c r="N29">
        <v>0.7</v>
      </c>
      <c r="O29">
        <v>1.4</v>
      </c>
      <c r="P29">
        <v>1.2</v>
      </c>
      <c r="Q29" s="35">
        <v>2.7</v>
      </c>
      <c r="R29" s="35">
        <v>2.7</v>
      </c>
      <c r="S29" s="35">
        <v>2.7</v>
      </c>
      <c r="T29" s="35">
        <v>2.2999999999999998</v>
      </c>
    </row>
    <row r="30" spans="2:20" x14ac:dyDescent="0.35">
      <c r="B30" t="s">
        <v>202</v>
      </c>
      <c r="C30" t="s">
        <v>197</v>
      </c>
      <c r="D30" t="s">
        <v>177</v>
      </c>
      <c r="E30">
        <v>1.7</v>
      </c>
      <c r="F30">
        <v>0.8</v>
      </c>
      <c r="G30">
        <v>4</v>
      </c>
      <c r="H30">
        <v>4.5</v>
      </c>
      <c r="I30">
        <v>7.1</v>
      </c>
      <c r="J30">
        <v>7</v>
      </c>
      <c r="K30">
        <v>7.2</v>
      </c>
      <c r="L30">
        <v>7.3</v>
      </c>
      <c r="M30">
        <v>-0.9</v>
      </c>
      <c r="N30">
        <v>3.6</v>
      </c>
      <c r="O30">
        <v>1.3</v>
      </c>
      <c r="P30">
        <v>1.3</v>
      </c>
      <c r="Q30" s="35">
        <v>2.2999999999999998</v>
      </c>
      <c r="R30" s="35">
        <v>1.8</v>
      </c>
      <c r="S30" s="35">
        <v>1.5</v>
      </c>
      <c r="T30" s="35">
        <v>1.2</v>
      </c>
    </row>
    <row r="32" spans="2:20" x14ac:dyDescent="0.35">
      <c r="I32" s="30">
        <f>AVERAGE(I25:I30)</f>
        <v>11.15</v>
      </c>
      <c r="J32" s="30">
        <f t="shared" ref="J32:L32" si="1">AVERAGE(J25:J30)</f>
        <v>10.783333333333333</v>
      </c>
      <c r="K32" s="30">
        <f t="shared" si="1"/>
        <v>10.950000000000001</v>
      </c>
      <c r="L32" s="30">
        <f t="shared" si="1"/>
        <v>11.133333333333333</v>
      </c>
      <c r="M32" s="30"/>
      <c r="N32" s="30"/>
      <c r="O32" s="30"/>
      <c r="P32" s="30"/>
      <c r="Q32" s="35">
        <f>AVERAGE(Q25:Q30)</f>
        <v>1.9333333333333336</v>
      </c>
      <c r="R32" s="35">
        <f t="shared" ref="R32:T32" si="2">AVERAGE(R25:R30)</f>
        <v>1.9000000000000004</v>
      </c>
      <c r="S32" s="35">
        <f t="shared" si="2"/>
        <v>1.7166666666666668</v>
      </c>
      <c r="T32" s="35">
        <f t="shared" si="2"/>
        <v>1.5333333333333332</v>
      </c>
    </row>
    <row r="34" spans="9:13" x14ac:dyDescent="0.35">
      <c r="J34">
        <v>2024</v>
      </c>
      <c r="K34">
        <v>2025</v>
      </c>
      <c r="L34" s="36" t="s">
        <v>192</v>
      </c>
      <c r="M34" s="36" t="s">
        <v>193</v>
      </c>
    </row>
    <row r="35" spans="9:13" x14ac:dyDescent="0.35">
      <c r="I35" t="s">
        <v>203</v>
      </c>
      <c r="J35" s="34">
        <f>I32/100</f>
        <v>0.1115</v>
      </c>
      <c r="K35" s="34">
        <f>J32/100</f>
        <v>0.10783333333333334</v>
      </c>
      <c r="L35" s="34">
        <f>K32/100</f>
        <v>0.10950000000000001</v>
      </c>
      <c r="M35" s="34">
        <f>L32/100</f>
        <v>0.11133333333333333</v>
      </c>
    </row>
    <row r="36" spans="9:13" x14ac:dyDescent="0.35">
      <c r="I36" t="s">
        <v>204</v>
      </c>
      <c r="J36" s="35">
        <f>Q32</f>
        <v>1.9333333333333336</v>
      </c>
      <c r="K36" s="35">
        <f t="shared" ref="K36:M36" si="3">R32</f>
        <v>1.9000000000000004</v>
      </c>
      <c r="L36" s="35">
        <f t="shared" si="3"/>
        <v>1.7166666666666668</v>
      </c>
      <c r="M36" s="35">
        <f t="shared" si="3"/>
        <v>1.5333333333333332</v>
      </c>
    </row>
  </sheetData>
  <mergeCells count="4">
    <mergeCell ref="E23:H23"/>
    <mergeCell ref="I23:L23"/>
    <mergeCell ref="M23:P23"/>
    <mergeCell ref="Q23:T2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D86B-86B4-4742-B752-DE2AE83AE5F2}">
  <dimension ref="B3:T36"/>
  <sheetViews>
    <sheetView workbookViewId="0">
      <selection activeCell="B30" sqref="B30"/>
    </sheetView>
  </sheetViews>
  <sheetFormatPr baseColWidth="10" defaultRowHeight="14.5" x14ac:dyDescent="0.35"/>
  <sheetData>
    <row r="3" spans="2:11" x14ac:dyDescent="0.35">
      <c r="C3" s="32">
        <v>2020</v>
      </c>
      <c r="D3" s="32">
        <f>C3+1</f>
        <v>2021</v>
      </c>
      <c r="E3" s="32">
        <f t="shared" ref="E3:K3" si="0">D3+1</f>
        <v>2022</v>
      </c>
      <c r="F3" s="32">
        <f t="shared" si="0"/>
        <v>2023</v>
      </c>
      <c r="G3" s="32">
        <f t="shared" si="0"/>
        <v>2024</v>
      </c>
      <c r="H3" s="32">
        <f t="shared" si="0"/>
        <v>2025</v>
      </c>
      <c r="I3" s="33">
        <f t="shared" si="0"/>
        <v>2026</v>
      </c>
      <c r="J3" s="33">
        <f t="shared" si="0"/>
        <v>2027</v>
      </c>
      <c r="K3" s="33">
        <f t="shared" si="0"/>
        <v>2028</v>
      </c>
    </row>
    <row r="4" spans="2:11" x14ac:dyDescent="0.35">
      <c r="B4" t="s">
        <v>174</v>
      </c>
      <c r="C4" s="30">
        <v>-6.1</v>
      </c>
      <c r="D4" s="30">
        <v>11.3</v>
      </c>
      <c r="E4" s="30">
        <v>2.08</v>
      </c>
      <c r="F4" s="30">
        <v>0.78</v>
      </c>
      <c r="G4" s="30">
        <v>2.59</v>
      </c>
      <c r="H4" s="30">
        <v>2.4</v>
      </c>
      <c r="I4" s="30">
        <v>2.16</v>
      </c>
      <c r="J4" s="30">
        <v>2.2999999999999998</v>
      </c>
      <c r="K4" s="30">
        <v>2.4</v>
      </c>
    </row>
    <row r="23" spans="2:20" x14ac:dyDescent="0.35">
      <c r="E23" s="41" t="s">
        <v>187</v>
      </c>
      <c r="F23" s="41"/>
      <c r="G23" s="41"/>
      <c r="H23" s="41"/>
      <c r="I23" s="41" t="s">
        <v>188</v>
      </c>
      <c r="J23" s="41"/>
      <c r="K23" s="41"/>
      <c r="L23" s="41"/>
      <c r="M23" s="41" t="s">
        <v>189</v>
      </c>
      <c r="N23" s="41"/>
      <c r="O23" s="41"/>
      <c r="P23" s="41"/>
      <c r="Q23" s="41" t="s">
        <v>190</v>
      </c>
      <c r="R23" s="41"/>
      <c r="S23" s="41"/>
      <c r="T23" s="41"/>
    </row>
    <row r="24" spans="2:20" x14ac:dyDescent="0.35">
      <c r="C24" t="s">
        <v>182</v>
      </c>
      <c r="D24" t="s">
        <v>183</v>
      </c>
      <c r="E24">
        <v>2024</v>
      </c>
      <c r="F24" t="s">
        <v>184</v>
      </c>
      <c r="G24" t="s">
        <v>185</v>
      </c>
      <c r="H24" t="s">
        <v>186</v>
      </c>
      <c r="I24">
        <v>2024</v>
      </c>
      <c r="J24" t="s">
        <v>184</v>
      </c>
      <c r="K24" t="s">
        <v>185</v>
      </c>
      <c r="L24" t="s">
        <v>186</v>
      </c>
      <c r="M24">
        <v>2024</v>
      </c>
      <c r="N24" t="s">
        <v>184</v>
      </c>
      <c r="O24" t="s">
        <v>185</v>
      </c>
      <c r="P24" t="s">
        <v>186</v>
      </c>
      <c r="Q24">
        <v>2024</v>
      </c>
      <c r="R24" t="s">
        <v>184</v>
      </c>
      <c r="S24" t="s">
        <v>185</v>
      </c>
      <c r="T24" t="s">
        <v>186</v>
      </c>
    </row>
    <row r="25" spans="2:20" x14ac:dyDescent="0.35">
      <c r="B25" t="s">
        <v>205</v>
      </c>
      <c r="C25" t="s">
        <v>206</v>
      </c>
      <c r="D25" t="s">
        <v>177</v>
      </c>
      <c r="E25" t="s">
        <v>207</v>
      </c>
      <c r="F25" t="s">
        <v>208</v>
      </c>
      <c r="G25" t="s">
        <v>209</v>
      </c>
      <c r="H25" t="s">
        <v>210</v>
      </c>
      <c r="I25" t="s">
        <v>211</v>
      </c>
      <c r="J25" t="s">
        <v>212</v>
      </c>
      <c r="K25" t="s">
        <v>213</v>
      </c>
      <c r="L25" t="s">
        <v>214</v>
      </c>
      <c r="M25" t="s">
        <v>215</v>
      </c>
      <c r="N25" t="s">
        <v>216</v>
      </c>
      <c r="O25" t="s">
        <v>217</v>
      </c>
      <c r="P25" t="s">
        <v>218</v>
      </c>
      <c r="Q25" t="s">
        <v>219</v>
      </c>
      <c r="R25" t="s">
        <v>220</v>
      </c>
      <c r="S25" t="s">
        <v>221</v>
      </c>
      <c r="T25" t="s">
        <v>222</v>
      </c>
    </row>
    <row r="26" spans="2:20" x14ac:dyDescent="0.35">
      <c r="B26" t="s">
        <v>196</v>
      </c>
      <c r="C26" t="s">
        <v>197</v>
      </c>
      <c r="D26" t="s">
        <v>177</v>
      </c>
      <c r="E26">
        <v>11.1</v>
      </c>
      <c r="F26">
        <v>8.4</v>
      </c>
      <c r="G26">
        <v>9.1</v>
      </c>
      <c r="H26">
        <v>11.4</v>
      </c>
      <c r="I26">
        <v>14.1</v>
      </c>
      <c r="J26">
        <v>14.2</v>
      </c>
      <c r="K26">
        <v>14.3</v>
      </c>
      <c r="L26">
        <v>14.2</v>
      </c>
      <c r="M26">
        <v>-3.3</v>
      </c>
      <c r="N26">
        <v>-0.3</v>
      </c>
      <c r="O26">
        <v>0.4</v>
      </c>
      <c r="P26">
        <v>-0.1</v>
      </c>
      <c r="Q26" s="35">
        <v>1.6</v>
      </c>
      <c r="R26" s="35">
        <v>1.6</v>
      </c>
      <c r="S26" s="35">
        <v>1.5</v>
      </c>
      <c r="T26" s="35">
        <v>1.4</v>
      </c>
    </row>
    <row r="27" spans="2:20" x14ac:dyDescent="0.35">
      <c r="B27" t="s">
        <v>198</v>
      </c>
      <c r="C27" t="s">
        <v>197</v>
      </c>
      <c r="D27" t="s">
        <v>177</v>
      </c>
      <c r="E27">
        <v>0</v>
      </c>
      <c r="F27">
        <v>0.9</v>
      </c>
      <c r="G27">
        <v>3.1</v>
      </c>
      <c r="H27">
        <v>3.9</v>
      </c>
      <c r="I27">
        <v>9.5</v>
      </c>
      <c r="J27">
        <v>9</v>
      </c>
      <c r="K27">
        <v>9.3000000000000007</v>
      </c>
      <c r="L27">
        <v>9.6</v>
      </c>
      <c r="M27">
        <v>1.9</v>
      </c>
      <c r="N27">
        <v>4.4000000000000004</v>
      </c>
      <c r="O27">
        <v>2</v>
      </c>
      <c r="P27">
        <v>1.8</v>
      </c>
      <c r="Q27" s="35">
        <v>0.8</v>
      </c>
      <c r="R27" s="35">
        <v>0.8</v>
      </c>
      <c r="S27" s="35">
        <v>0.7</v>
      </c>
      <c r="T27" s="35">
        <v>0.7</v>
      </c>
    </row>
    <row r="28" spans="2:20" x14ac:dyDescent="0.35">
      <c r="B28" t="s">
        <v>199</v>
      </c>
      <c r="C28" t="s">
        <v>200</v>
      </c>
      <c r="D28" t="s">
        <v>177</v>
      </c>
      <c r="E28">
        <v>9.6999999999999993</v>
      </c>
      <c r="F28">
        <v>8.8000000000000007</v>
      </c>
      <c r="G28">
        <v>7.2</v>
      </c>
      <c r="H28">
        <v>7.6</v>
      </c>
      <c r="I28">
        <v>10.3</v>
      </c>
      <c r="J28">
        <v>10.5</v>
      </c>
      <c r="K28">
        <v>10.5</v>
      </c>
      <c r="L28">
        <v>10.7</v>
      </c>
      <c r="M28">
        <v>-3.6</v>
      </c>
      <c r="N28">
        <v>-5.3</v>
      </c>
      <c r="O28">
        <v>-4.9000000000000004</v>
      </c>
      <c r="P28">
        <v>-0.3</v>
      </c>
      <c r="Q28" s="35">
        <v>3.2</v>
      </c>
      <c r="R28" s="35">
        <v>2.9</v>
      </c>
      <c r="S28" s="35">
        <v>2.6</v>
      </c>
      <c r="T28" s="35">
        <v>2.5</v>
      </c>
    </row>
    <row r="29" spans="2:20" x14ac:dyDescent="0.35">
      <c r="B29" t="s">
        <v>201</v>
      </c>
      <c r="C29" t="s">
        <v>197</v>
      </c>
      <c r="D29" t="s">
        <v>177</v>
      </c>
      <c r="E29">
        <v>7.1</v>
      </c>
      <c r="F29">
        <v>4.9000000000000004</v>
      </c>
      <c r="G29">
        <v>4.4000000000000004</v>
      </c>
      <c r="H29">
        <v>4.5</v>
      </c>
      <c r="I29">
        <v>8.4</v>
      </c>
      <c r="J29">
        <v>8.1</v>
      </c>
      <c r="K29">
        <v>8.1</v>
      </c>
      <c r="L29">
        <v>8.3000000000000007</v>
      </c>
      <c r="M29">
        <v>-0.4</v>
      </c>
      <c r="N29">
        <v>0.7</v>
      </c>
      <c r="O29">
        <v>1.4</v>
      </c>
      <c r="P29">
        <v>1.2</v>
      </c>
      <c r="Q29" s="35">
        <v>2.7</v>
      </c>
      <c r="R29" s="35">
        <v>2.7</v>
      </c>
      <c r="S29" s="35">
        <v>2.7</v>
      </c>
      <c r="T29" s="35">
        <v>2.2999999999999998</v>
      </c>
    </row>
    <row r="30" spans="2:20" x14ac:dyDescent="0.35">
      <c r="B30" t="s">
        <v>202</v>
      </c>
      <c r="C30" t="s">
        <v>197</v>
      </c>
      <c r="D30" t="s">
        <v>177</v>
      </c>
      <c r="E30">
        <v>1.7</v>
      </c>
      <c r="F30">
        <v>0.8</v>
      </c>
      <c r="G30">
        <v>4</v>
      </c>
      <c r="H30">
        <v>4.5</v>
      </c>
      <c r="I30">
        <v>7.1</v>
      </c>
      <c r="J30">
        <v>7</v>
      </c>
      <c r="K30">
        <v>7.2</v>
      </c>
      <c r="L30">
        <v>7.3</v>
      </c>
      <c r="M30">
        <v>-0.9</v>
      </c>
      <c r="N30">
        <v>3.6</v>
      </c>
      <c r="O30">
        <v>1.3</v>
      </c>
      <c r="P30">
        <v>1.3</v>
      </c>
      <c r="Q30" s="35">
        <v>2.2999999999999998</v>
      </c>
      <c r="R30" s="35">
        <v>1.8</v>
      </c>
      <c r="S30" s="35">
        <v>1.5</v>
      </c>
      <c r="T30" s="35">
        <v>1.2</v>
      </c>
    </row>
    <row r="32" spans="2:20" x14ac:dyDescent="0.35">
      <c r="I32" s="30">
        <f>AVERAGE(I25:I30)</f>
        <v>9.8800000000000008</v>
      </c>
      <c r="J32" s="30">
        <f t="shared" ref="J32:L32" si="1">AVERAGE(J25:J30)</f>
        <v>9.7600000000000016</v>
      </c>
      <c r="K32" s="30">
        <f t="shared" si="1"/>
        <v>9.8800000000000008</v>
      </c>
      <c r="L32" s="30">
        <f t="shared" si="1"/>
        <v>10.02</v>
      </c>
      <c r="M32" s="30"/>
      <c r="N32" s="30"/>
      <c r="O32" s="30"/>
      <c r="P32" s="30"/>
      <c r="Q32" s="35">
        <f>AVERAGE(Q25:Q30)</f>
        <v>2.12</v>
      </c>
      <c r="R32" s="35">
        <f t="shared" ref="R32:T32" si="2">AVERAGE(R25:R30)</f>
        <v>1.9600000000000002</v>
      </c>
      <c r="S32" s="35">
        <f t="shared" si="2"/>
        <v>1.8</v>
      </c>
      <c r="T32" s="35">
        <f t="shared" si="2"/>
        <v>1.6199999999999999</v>
      </c>
    </row>
    <row r="34" spans="9:13" x14ac:dyDescent="0.35">
      <c r="J34">
        <v>2024</v>
      </c>
      <c r="K34">
        <v>2025</v>
      </c>
      <c r="L34" s="36" t="s">
        <v>192</v>
      </c>
      <c r="M34" s="36" t="s">
        <v>193</v>
      </c>
    </row>
    <row r="35" spans="9:13" x14ac:dyDescent="0.35">
      <c r="I35" t="s">
        <v>203</v>
      </c>
      <c r="J35" s="34">
        <f>I32/100</f>
        <v>9.8800000000000013E-2</v>
      </c>
      <c r="K35" s="34">
        <f>J32/100</f>
        <v>9.760000000000002E-2</v>
      </c>
      <c r="L35" s="34">
        <f>K32/100</f>
        <v>9.8800000000000013E-2</v>
      </c>
      <c r="M35" s="34">
        <f>L32/100</f>
        <v>0.1002</v>
      </c>
    </row>
    <row r="36" spans="9:13" x14ac:dyDescent="0.35">
      <c r="I36" t="s">
        <v>204</v>
      </c>
      <c r="J36" s="35">
        <f>Q32</f>
        <v>2.12</v>
      </c>
      <c r="K36" s="35">
        <f t="shared" ref="K36:M36" si="3">R32</f>
        <v>1.9600000000000002</v>
      </c>
      <c r="L36" s="35">
        <f t="shared" si="3"/>
        <v>1.8</v>
      </c>
      <c r="M36" s="35">
        <f t="shared" si="3"/>
        <v>1.6199999999999999</v>
      </c>
    </row>
  </sheetData>
  <mergeCells count="4">
    <mergeCell ref="E23:H23"/>
    <mergeCell ref="I23:L23"/>
    <mergeCell ref="M23:P23"/>
    <mergeCell ref="Q23:T2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5EF5-96AF-4E91-9FAC-5BD1F0EF9CB3}">
  <dimension ref="B3:T43"/>
  <sheetViews>
    <sheetView workbookViewId="0">
      <selection activeCell="E1" sqref="E1"/>
    </sheetView>
  </sheetViews>
  <sheetFormatPr baseColWidth="10" defaultRowHeight="14.5" x14ac:dyDescent="0.35"/>
  <sheetData>
    <row r="3" spans="2:11" x14ac:dyDescent="0.35">
      <c r="C3" s="32">
        <v>2020</v>
      </c>
      <c r="D3" s="32">
        <f>C3+1</f>
        <v>2021</v>
      </c>
      <c r="E3" s="32">
        <f t="shared" ref="E3:K3" si="0">D3+1</f>
        <v>2022</v>
      </c>
      <c r="F3" s="32">
        <f t="shared" si="0"/>
        <v>2023</v>
      </c>
      <c r="G3" s="32">
        <f t="shared" si="0"/>
        <v>2024</v>
      </c>
      <c r="H3" s="32">
        <f t="shared" si="0"/>
        <v>2025</v>
      </c>
      <c r="I3" s="33">
        <f t="shared" si="0"/>
        <v>2026</v>
      </c>
      <c r="J3" s="33">
        <f t="shared" si="0"/>
        <v>2027</v>
      </c>
      <c r="K3" s="33">
        <f t="shared" si="0"/>
        <v>2028</v>
      </c>
    </row>
    <row r="4" spans="2:11" x14ac:dyDescent="0.35">
      <c r="B4" t="s">
        <v>174</v>
      </c>
      <c r="C4" s="30">
        <v>-3.57</v>
      </c>
      <c r="D4" s="30">
        <v>5.0999999999999996</v>
      </c>
      <c r="E4" s="30">
        <v>3.12</v>
      </c>
      <c r="F4" s="30">
        <v>3.25</v>
      </c>
      <c r="G4" s="30">
        <v>2.98</v>
      </c>
      <c r="H4" s="30">
        <v>2.59</v>
      </c>
      <c r="I4" s="30">
        <v>1.64</v>
      </c>
      <c r="J4" s="30">
        <v>2.4500000000000002</v>
      </c>
      <c r="K4" s="30">
        <v>3.46</v>
      </c>
    </row>
    <row r="23" spans="2:20" x14ac:dyDescent="0.35">
      <c r="E23" s="41" t="s">
        <v>187</v>
      </c>
      <c r="F23" s="41"/>
      <c r="G23" s="41"/>
      <c r="H23" s="41"/>
      <c r="I23" s="41" t="s">
        <v>188</v>
      </c>
      <c r="J23" s="41"/>
      <c r="K23" s="41"/>
      <c r="L23" s="41"/>
      <c r="M23" s="41" t="s">
        <v>189</v>
      </c>
      <c r="N23" s="41"/>
      <c r="O23" s="41"/>
      <c r="P23" s="41"/>
      <c r="Q23" s="41" t="s">
        <v>190</v>
      </c>
      <c r="R23" s="41"/>
      <c r="S23" s="41"/>
      <c r="T23" s="41"/>
    </row>
    <row r="24" spans="2:20" x14ac:dyDescent="0.35">
      <c r="C24" t="s">
        <v>182</v>
      </c>
      <c r="D24" t="s">
        <v>183</v>
      </c>
      <c r="E24">
        <v>2024</v>
      </c>
      <c r="F24" t="s">
        <v>184</v>
      </c>
      <c r="G24" t="s">
        <v>185</v>
      </c>
      <c r="H24" t="s">
        <v>186</v>
      </c>
      <c r="I24">
        <v>2024</v>
      </c>
      <c r="J24" t="s">
        <v>184</v>
      </c>
      <c r="K24" t="s">
        <v>185</v>
      </c>
      <c r="L24" t="s">
        <v>186</v>
      </c>
      <c r="M24">
        <v>2024</v>
      </c>
      <c r="N24" t="s">
        <v>184</v>
      </c>
      <c r="O24" t="s">
        <v>185</v>
      </c>
      <c r="P24" t="s">
        <v>186</v>
      </c>
      <c r="Q24">
        <v>2024</v>
      </c>
      <c r="R24" t="s">
        <v>184</v>
      </c>
      <c r="S24" t="s">
        <v>185</v>
      </c>
      <c r="T24" t="s">
        <v>186</v>
      </c>
    </row>
    <row r="25" spans="2:20" x14ac:dyDescent="0.35">
      <c r="B25" t="s">
        <v>223</v>
      </c>
      <c r="C25" t="s">
        <v>224</v>
      </c>
      <c r="D25" t="s">
        <v>177</v>
      </c>
      <c r="E25">
        <v>28.8</v>
      </c>
      <c r="F25">
        <v>14</v>
      </c>
      <c r="G25">
        <v>11.1</v>
      </c>
      <c r="H25">
        <v>10.7</v>
      </c>
      <c r="I25">
        <v>21.4</v>
      </c>
      <c r="J25">
        <v>21.3</v>
      </c>
      <c r="K25">
        <v>20.399999999999999</v>
      </c>
      <c r="L25">
        <v>19.8</v>
      </c>
      <c r="M25">
        <v>1.1000000000000001</v>
      </c>
      <c r="N25">
        <v>8.6999999999999993</v>
      </c>
      <c r="O25">
        <v>7.5</v>
      </c>
      <c r="P25">
        <v>8.4</v>
      </c>
      <c r="Q25">
        <v>1.1000000000000001</v>
      </c>
      <c r="R25">
        <v>0.8</v>
      </c>
      <c r="S25">
        <v>0.8</v>
      </c>
      <c r="T25">
        <v>0.6</v>
      </c>
    </row>
    <row r="26" spans="2:20" x14ac:dyDescent="0.35">
      <c r="B26" t="s">
        <v>225</v>
      </c>
      <c r="C26" t="s">
        <v>224</v>
      </c>
      <c r="D26" t="s">
        <v>177</v>
      </c>
      <c r="E26">
        <v>17.8</v>
      </c>
      <c r="F26">
        <v>13.3</v>
      </c>
      <c r="G26">
        <v>12.1</v>
      </c>
      <c r="H26">
        <v>12.3</v>
      </c>
      <c r="I26">
        <v>29.2</v>
      </c>
      <c r="J26">
        <v>29.8</v>
      </c>
      <c r="K26">
        <v>29.9</v>
      </c>
      <c r="L26">
        <v>31</v>
      </c>
      <c r="M26">
        <v>-6</v>
      </c>
      <c r="N26">
        <v>-4.3</v>
      </c>
      <c r="O26">
        <v>0.7</v>
      </c>
      <c r="P26">
        <v>2.9</v>
      </c>
      <c r="Q26">
        <v>1.3</v>
      </c>
      <c r="R26">
        <v>1.4</v>
      </c>
      <c r="S26">
        <v>1.3</v>
      </c>
      <c r="T26">
        <v>1.2</v>
      </c>
    </row>
    <row r="27" spans="2:20" x14ac:dyDescent="0.35">
      <c r="B27" t="s">
        <v>226</v>
      </c>
      <c r="C27" t="s">
        <v>227</v>
      </c>
      <c r="D27" t="s">
        <v>228</v>
      </c>
      <c r="E27">
        <v>2.2999999999999998</v>
      </c>
      <c r="F27">
        <v>4.4000000000000004</v>
      </c>
      <c r="G27">
        <v>7.1</v>
      </c>
      <c r="H27">
        <v>9.4</v>
      </c>
      <c r="I27">
        <v>15.4</v>
      </c>
      <c r="J27">
        <v>15.4</v>
      </c>
      <c r="K27">
        <v>15.6</v>
      </c>
      <c r="L27">
        <v>15.5</v>
      </c>
      <c r="M27">
        <v>5.9</v>
      </c>
      <c r="N27">
        <v>0.1</v>
      </c>
      <c r="O27">
        <v>0.4</v>
      </c>
      <c r="P27">
        <v>0.5</v>
      </c>
      <c r="Q27">
        <v>2.5</v>
      </c>
      <c r="R27">
        <v>2.6</v>
      </c>
      <c r="S27">
        <v>2.2000000000000002</v>
      </c>
      <c r="T27">
        <v>2</v>
      </c>
    </row>
    <row r="28" spans="2:20" x14ac:dyDescent="0.35">
      <c r="B28" t="s">
        <v>229</v>
      </c>
      <c r="C28" t="s">
        <v>227</v>
      </c>
      <c r="D28" t="s">
        <v>228</v>
      </c>
      <c r="E28">
        <v>13.7</v>
      </c>
      <c r="F28">
        <v>11.1</v>
      </c>
      <c r="G28">
        <v>10.9</v>
      </c>
      <c r="H28">
        <v>10.6</v>
      </c>
      <c r="I28">
        <v>18.8</v>
      </c>
      <c r="J28">
        <v>19.3</v>
      </c>
      <c r="K28">
        <v>18.8</v>
      </c>
      <c r="L28">
        <v>19.100000000000001</v>
      </c>
      <c r="M28">
        <v>7.1</v>
      </c>
      <c r="N28">
        <v>5.5</v>
      </c>
      <c r="O28">
        <v>4.7</v>
      </c>
      <c r="P28">
        <v>4.7</v>
      </c>
      <c r="Q28">
        <v>2.7</v>
      </c>
      <c r="R28">
        <v>1.8</v>
      </c>
      <c r="S28">
        <v>1.8</v>
      </c>
      <c r="T28">
        <v>1.6</v>
      </c>
    </row>
    <row r="29" spans="2:20" x14ac:dyDescent="0.35">
      <c r="B29" t="s">
        <v>230</v>
      </c>
      <c r="C29" t="s">
        <v>227</v>
      </c>
      <c r="D29" t="s">
        <v>177</v>
      </c>
      <c r="E29">
        <v>12.9</v>
      </c>
      <c r="F29">
        <v>12.7</v>
      </c>
      <c r="G29">
        <v>10.5</v>
      </c>
      <c r="H29">
        <v>9.8000000000000007</v>
      </c>
      <c r="I29">
        <v>8.6999999999999993</v>
      </c>
      <c r="J29">
        <v>8.8000000000000007</v>
      </c>
      <c r="K29">
        <v>8.8000000000000007</v>
      </c>
      <c r="L29">
        <v>8.6999999999999993</v>
      </c>
      <c r="M29">
        <v>0.3</v>
      </c>
      <c r="N29">
        <v>-0.5</v>
      </c>
      <c r="O29">
        <v>0.2</v>
      </c>
      <c r="P29">
        <v>0.9</v>
      </c>
      <c r="Q29">
        <v>3.6</v>
      </c>
      <c r="R29">
        <v>3.3</v>
      </c>
      <c r="S29">
        <v>3.1</v>
      </c>
      <c r="T29">
        <v>2.8</v>
      </c>
    </row>
    <row r="30" spans="2:20" x14ac:dyDescent="0.35">
      <c r="B30" t="s">
        <v>231</v>
      </c>
      <c r="C30" t="s">
        <v>232</v>
      </c>
      <c r="D30" t="s">
        <v>177</v>
      </c>
      <c r="E30">
        <v>12</v>
      </c>
      <c r="F30">
        <v>11.8</v>
      </c>
      <c r="G30">
        <v>7.3</v>
      </c>
      <c r="H30">
        <v>7.2</v>
      </c>
      <c r="I30">
        <v>15.6</v>
      </c>
      <c r="J30">
        <v>17.2</v>
      </c>
      <c r="K30">
        <v>17.100000000000001</v>
      </c>
      <c r="L30">
        <v>17</v>
      </c>
      <c r="M30">
        <v>7.7</v>
      </c>
      <c r="N30">
        <v>6.1</v>
      </c>
      <c r="O30">
        <v>6.6</v>
      </c>
      <c r="P30">
        <v>5.3</v>
      </c>
      <c r="Q30">
        <v>4.4000000000000004</v>
      </c>
      <c r="R30">
        <v>3.1</v>
      </c>
      <c r="S30">
        <v>3</v>
      </c>
      <c r="T30">
        <v>2.7</v>
      </c>
    </row>
    <row r="31" spans="2:20" x14ac:dyDescent="0.35">
      <c r="B31" t="s">
        <v>233</v>
      </c>
      <c r="C31" t="s">
        <v>234</v>
      </c>
      <c r="D31" t="s">
        <v>228</v>
      </c>
      <c r="E31">
        <v>10.8</v>
      </c>
      <c r="F31">
        <v>34.700000000000003</v>
      </c>
      <c r="G31">
        <v>33.4</v>
      </c>
      <c r="H31">
        <v>21.1</v>
      </c>
      <c r="I31">
        <v>13.5</v>
      </c>
      <c r="J31">
        <v>11.9</v>
      </c>
      <c r="K31">
        <v>11.4</v>
      </c>
      <c r="L31">
        <v>11.5</v>
      </c>
      <c r="M31">
        <v>-14.2</v>
      </c>
      <c r="N31">
        <v>2.9</v>
      </c>
      <c r="O31">
        <v>-2.9</v>
      </c>
      <c r="P31">
        <v>-2.9</v>
      </c>
      <c r="Q31">
        <v>4.3</v>
      </c>
      <c r="R31">
        <v>3.5</v>
      </c>
      <c r="S31">
        <v>3</v>
      </c>
      <c r="T31">
        <v>2.9</v>
      </c>
    </row>
    <row r="32" spans="2:20" x14ac:dyDescent="0.35">
      <c r="B32" t="s">
        <v>235</v>
      </c>
      <c r="C32" t="s">
        <v>234</v>
      </c>
      <c r="D32" t="s">
        <v>177</v>
      </c>
      <c r="E32">
        <v>18.100000000000001</v>
      </c>
      <c r="F32">
        <v>27.2</v>
      </c>
      <c r="G32">
        <v>17</v>
      </c>
      <c r="H32">
        <v>14</v>
      </c>
      <c r="I32">
        <v>9.6</v>
      </c>
      <c r="J32">
        <v>8.9</v>
      </c>
      <c r="K32">
        <v>10</v>
      </c>
      <c r="L32">
        <v>10</v>
      </c>
      <c r="M32">
        <v>-7.1</v>
      </c>
      <c r="N32">
        <v>-1.1000000000000001</v>
      </c>
      <c r="O32">
        <v>0</v>
      </c>
      <c r="P32">
        <v>2</v>
      </c>
      <c r="Q32">
        <v>4.8</v>
      </c>
      <c r="R32">
        <v>4.8</v>
      </c>
      <c r="S32">
        <v>4</v>
      </c>
      <c r="T32">
        <v>4</v>
      </c>
    </row>
    <row r="33" spans="2:20" x14ac:dyDescent="0.35">
      <c r="B33" t="s">
        <v>236</v>
      </c>
      <c r="C33" t="s">
        <v>234</v>
      </c>
      <c r="D33" t="s">
        <v>177</v>
      </c>
      <c r="E33">
        <v>2.4</v>
      </c>
      <c r="F33">
        <v>5.6</v>
      </c>
      <c r="G33">
        <v>3.9</v>
      </c>
      <c r="H33">
        <v>3.7</v>
      </c>
      <c r="I33">
        <v>24</v>
      </c>
      <c r="J33">
        <v>24.8</v>
      </c>
      <c r="K33">
        <v>25</v>
      </c>
      <c r="L33">
        <v>25.1</v>
      </c>
      <c r="M33">
        <v>4.3</v>
      </c>
      <c r="N33">
        <v>2.2000000000000002</v>
      </c>
      <c r="O33">
        <v>4.4000000000000004</v>
      </c>
      <c r="P33">
        <v>5.0999999999999996</v>
      </c>
      <c r="Q33">
        <v>3.5</v>
      </c>
      <c r="R33">
        <v>3</v>
      </c>
      <c r="S33">
        <v>2.9</v>
      </c>
      <c r="T33">
        <v>2.4</v>
      </c>
    </row>
    <row r="34" spans="2:20" x14ac:dyDescent="0.35">
      <c r="B34" t="s">
        <v>237</v>
      </c>
      <c r="C34" t="s">
        <v>238</v>
      </c>
      <c r="D34" t="s">
        <v>228</v>
      </c>
      <c r="E34">
        <v>-0.8</v>
      </c>
      <c r="F34">
        <v>7.9</v>
      </c>
      <c r="G34">
        <v>11.3</v>
      </c>
      <c r="H34">
        <v>11.2</v>
      </c>
      <c r="I34">
        <v>25.5</v>
      </c>
      <c r="J34">
        <v>28.7</v>
      </c>
      <c r="K34">
        <v>30.2</v>
      </c>
      <c r="L34">
        <v>30.7</v>
      </c>
      <c r="M34">
        <v>-13.4</v>
      </c>
      <c r="N34">
        <v>0.3</v>
      </c>
      <c r="O34">
        <v>-1</v>
      </c>
      <c r="P34">
        <v>2.7</v>
      </c>
      <c r="Q34">
        <v>4.8</v>
      </c>
      <c r="R34">
        <v>3.7</v>
      </c>
      <c r="S34">
        <v>3.4</v>
      </c>
      <c r="T34">
        <v>2.9</v>
      </c>
    </row>
    <row r="35" spans="2:20" x14ac:dyDescent="0.35">
      <c r="B35" t="s">
        <v>239</v>
      </c>
      <c r="C35" t="s">
        <v>206</v>
      </c>
      <c r="D35" t="s">
        <v>177</v>
      </c>
      <c r="E35">
        <v>37.9</v>
      </c>
      <c r="F35">
        <v>29.1</v>
      </c>
      <c r="G35">
        <v>18.399999999999999</v>
      </c>
      <c r="H35">
        <v>21.4</v>
      </c>
      <c r="I35">
        <v>15.6</v>
      </c>
      <c r="J35">
        <v>13.9</v>
      </c>
      <c r="K35">
        <v>14.1</v>
      </c>
      <c r="L35">
        <v>14.6</v>
      </c>
      <c r="M35">
        <v>34</v>
      </c>
      <c r="N35">
        <v>27.9</v>
      </c>
      <c r="O35">
        <v>28.9</v>
      </c>
      <c r="P35">
        <v>27.5</v>
      </c>
      <c r="Q35">
        <v>1.8</v>
      </c>
      <c r="R35">
        <v>2.1</v>
      </c>
      <c r="S35">
        <v>2</v>
      </c>
      <c r="T35">
        <v>1.7</v>
      </c>
    </row>
    <row r="36" spans="2:20" x14ac:dyDescent="0.35">
      <c r="B36" t="s">
        <v>240</v>
      </c>
      <c r="C36" t="s">
        <v>224</v>
      </c>
      <c r="D36" t="s">
        <v>177</v>
      </c>
      <c r="E36">
        <v>19.8</v>
      </c>
      <c r="F36">
        <v>26.5</v>
      </c>
      <c r="G36">
        <v>24.9</v>
      </c>
      <c r="H36">
        <v>16.100000000000001</v>
      </c>
      <c r="I36">
        <v>7.8</v>
      </c>
      <c r="J36">
        <v>7.7</v>
      </c>
      <c r="K36">
        <v>7.6</v>
      </c>
      <c r="L36">
        <v>7.7</v>
      </c>
      <c r="M36">
        <v>-0.8</v>
      </c>
      <c r="N36">
        <v>-0.4</v>
      </c>
      <c r="O36">
        <v>-0.5</v>
      </c>
      <c r="P36">
        <v>0.8</v>
      </c>
      <c r="Q36">
        <v>1.9</v>
      </c>
      <c r="R36">
        <v>1.6</v>
      </c>
      <c r="S36">
        <v>1.5</v>
      </c>
      <c r="T36">
        <v>1.3</v>
      </c>
    </row>
    <row r="37" spans="2:20" x14ac:dyDescent="0.35">
      <c r="B37" t="s">
        <v>241</v>
      </c>
      <c r="C37" t="s">
        <v>224</v>
      </c>
      <c r="D37" t="s">
        <v>177</v>
      </c>
      <c r="E37">
        <v>11</v>
      </c>
      <c r="F37">
        <v>6</v>
      </c>
      <c r="G37">
        <v>7.6</v>
      </c>
      <c r="H37">
        <v>6.5</v>
      </c>
      <c r="I37">
        <v>7.4</v>
      </c>
      <c r="J37">
        <v>7.7</v>
      </c>
      <c r="K37">
        <v>7.8</v>
      </c>
      <c r="L37">
        <v>7.8</v>
      </c>
      <c r="M37">
        <v>-0.3</v>
      </c>
      <c r="N37">
        <v>1.2</v>
      </c>
      <c r="O37">
        <v>2.4</v>
      </c>
      <c r="P37">
        <v>2.2000000000000002</v>
      </c>
      <c r="Q37">
        <v>5</v>
      </c>
      <c r="R37">
        <v>4.3</v>
      </c>
      <c r="S37">
        <v>3.8</v>
      </c>
      <c r="T37">
        <v>3.4</v>
      </c>
    </row>
    <row r="39" spans="2:20" x14ac:dyDescent="0.35">
      <c r="I39" s="30">
        <f>AVERAGE(I25:I37)</f>
        <v>16.346153846153847</v>
      </c>
      <c r="J39" s="30">
        <f>AVERAGE(J25:J37)</f>
        <v>16.569230769230767</v>
      </c>
      <c r="K39" s="30">
        <f>AVERAGE(K25:K37)</f>
        <v>16.669230769230769</v>
      </c>
      <c r="L39" s="30">
        <f>AVERAGE(L25:L37)</f>
        <v>16.807692307692307</v>
      </c>
      <c r="M39" s="30"/>
      <c r="N39" s="30"/>
      <c r="O39" s="30"/>
      <c r="P39" s="30"/>
      <c r="Q39" s="35">
        <f>AVERAGE(Q25:Q37)</f>
        <v>3.2076923076923074</v>
      </c>
      <c r="R39" s="35">
        <f>AVERAGE(R25:R37)</f>
        <v>2.7692307692307692</v>
      </c>
      <c r="S39" s="35">
        <f>AVERAGE(S25:S37)</f>
        <v>2.523076923076923</v>
      </c>
      <c r="T39" s="35">
        <f>AVERAGE(T25:T37)</f>
        <v>2.2692307692307687</v>
      </c>
    </row>
    <row r="41" spans="2:20" x14ac:dyDescent="0.35">
      <c r="J41">
        <v>2024</v>
      </c>
      <c r="K41">
        <v>2025</v>
      </c>
      <c r="L41" s="36" t="s">
        <v>192</v>
      </c>
      <c r="M41" s="36" t="s">
        <v>193</v>
      </c>
    </row>
    <row r="42" spans="2:20" x14ac:dyDescent="0.35">
      <c r="I42" t="s">
        <v>203</v>
      </c>
      <c r="J42" s="34">
        <f>I39/100</f>
        <v>0.16346153846153846</v>
      </c>
      <c r="K42" s="34">
        <f>J39/100</f>
        <v>0.16569230769230767</v>
      </c>
      <c r="L42" s="34">
        <f>K39/100</f>
        <v>0.1666923076923077</v>
      </c>
      <c r="M42" s="34">
        <f>L39/100</f>
        <v>0.16807692307692307</v>
      </c>
    </row>
    <row r="43" spans="2:20" x14ac:dyDescent="0.35">
      <c r="I43" t="s">
        <v>204</v>
      </c>
      <c r="J43" s="35">
        <f>Q39</f>
        <v>3.2076923076923074</v>
      </c>
      <c r="K43" s="35">
        <f t="shared" ref="K43:M43" si="1">R39</f>
        <v>2.7692307692307692</v>
      </c>
      <c r="L43" s="35">
        <f t="shared" si="1"/>
        <v>2.523076923076923</v>
      </c>
      <c r="M43" s="35">
        <f t="shared" si="1"/>
        <v>2.2692307692307687</v>
      </c>
    </row>
  </sheetData>
  <mergeCells count="4">
    <mergeCell ref="E23:H23"/>
    <mergeCell ref="I23:L23"/>
    <mergeCell ref="M23:P23"/>
    <mergeCell ref="Q23:T23"/>
  </mergeCells>
  <pageMargins left="0.7" right="0.7" top="0.75" bottom="0.75" header="0.3" footer="0.3"/>
  <ignoredErrors>
    <ignoredError sqref="I39" formulaRange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3144-E090-42D6-A9A9-BE1344A02F1A}">
  <dimension ref="B3:T36"/>
  <sheetViews>
    <sheetView workbookViewId="0">
      <selection activeCell="D30" sqref="D30"/>
    </sheetView>
  </sheetViews>
  <sheetFormatPr baseColWidth="10" defaultRowHeight="14.5" x14ac:dyDescent="0.35"/>
  <sheetData>
    <row r="3" spans="2:11" x14ac:dyDescent="0.35">
      <c r="C3" s="32">
        <v>2020</v>
      </c>
      <c r="D3" s="32">
        <f>C3+1</f>
        <v>2021</v>
      </c>
      <c r="E3" s="32">
        <f t="shared" ref="E3:K3" si="0">D3+1</f>
        <v>2022</v>
      </c>
      <c r="F3" s="32">
        <f t="shared" si="0"/>
        <v>2023</v>
      </c>
      <c r="G3" s="32">
        <f t="shared" si="0"/>
        <v>2024</v>
      </c>
      <c r="H3" s="32">
        <f t="shared" si="0"/>
        <v>2025</v>
      </c>
      <c r="I3" s="33">
        <f t="shared" si="0"/>
        <v>2026</v>
      </c>
      <c r="J3" s="33">
        <f t="shared" si="0"/>
        <v>2027</v>
      </c>
      <c r="K3" s="33">
        <f t="shared" si="0"/>
        <v>2028</v>
      </c>
    </row>
    <row r="4" spans="2:11" x14ac:dyDescent="0.35">
      <c r="B4" t="s">
        <v>174</v>
      </c>
      <c r="C4" s="30">
        <v>-10.94</v>
      </c>
      <c r="D4" s="30">
        <v>13.42</v>
      </c>
      <c r="E4" s="30">
        <v>2.82</v>
      </c>
      <c r="F4" s="30">
        <v>-0.35</v>
      </c>
      <c r="G4" s="30">
        <v>3.51</v>
      </c>
      <c r="H4" s="30">
        <v>3.44</v>
      </c>
      <c r="I4" s="30">
        <v>2.79</v>
      </c>
      <c r="J4" s="30">
        <v>2.89</v>
      </c>
      <c r="K4" s="30">
        <v>2.87</v>
      </c>
    </row>
    <row r="23" spans="2:20" x14ac:dyDescent="0.35">
      <c r="E23" s="41" t="s">
        <v>187</v>
      </c>
      <c r="F23" s="41"/>
      <c r="G23" s="41"/>
      <c r="H23" s="41"/>
      <c r="I23" s="41" t="s">
        <v>188</v>
      </c>
      <c r="J23" s="41"/>
      <c r="K23" s="41"/>
      <c r="L23" s="41"/>
      <c r="M23" s="41" t="s">
        <v>189</v>
      </c>
      <c r="N23" s="41"/>
      <c r="O23" s="41"/>
      <c r="P23" s="41"/>
      <c r="Q23" s="41" t="s">
        <v>190</v>
      </c>
      <c r="R23" s="41"/>
      <c r="S23" s="41"/>
      <c r="T23" s="41"/>
    </row>
    <row r="24" spans="2:20" x14ac:dyDescent="0.35">
      <c r="C24" t="s">
        <v>182</v>
      </c>
      <c r="D24" t="s">
        <v>183</v>
      </c>
      <c r="E24">
        <v>2024</v>
      </c>
      <c r="F24" t="s">
        <v>184</v>
      </c>
      <c r="G24" t="s">
        <v>185</v>
      </c>
      <c r="H24" t="s">
        <v>186</v>
      </c>
      <c r="I24">
        <v>2024</v>
      </c>
      <c r="J24" t="s">
        <v>184</v>
      </c>
      <c r="K24" t="s">
        <v>185</v>
      </c>
      <c r="L24" t="s">
        <v>186</v>
      </c>
      <c r="M24">
        <v>2024</v>
      </c>
      <c r="N24" t="s">
        <v>184</v>
      </c>
      <c r="O24" t="s">
        <v>185</v>
      </c>
      <c r="P24" t="s">
        <v>186</v>
      </c>
      <c r="Q24">
        <v>2024</v>
      </c>
      <c r="R24" t="s">
        <v>184</v>
      </c>
      <c r="S24" t="s">
        <v>185</v>
      </c>
      <c r="T24" t="s">
        <v>186</v>
      </c>
    </row>
    <row r="25" spans="2:20" x14ac:dyDescent="0.35">
      <c r="B25" t="s">
        <v>205</v>
      </c>
      <c r="C25" t="s">
        <v>206</v>
      </c>
      <c r="D25" t="s">
        <v>177</v>
      </c>
      <c r="E25" t="s">
        <v>207</v>
      </c>
      <c r="F25" t="s">
        <v>208</v>
      </c>
      <c r="G25" t="s">
        <v>209</v>
      </c>
      <c r="H25" t="s">
        <v>210</v>
      </c>
      <c r="I25" t="s">
        <v>211</v>
      </c>
      <c r="J25" t="s">
        <v>212</v>
      </c>
      <c r="K25" t="s">
        <v>213</v>
      </c>
      <c r="L25" t="s">
        <v>214</v>
      </c>
      <c r="M25" t="s">
        <v>215</v>
      </c>
      <c r="N25" t="s">
        <v>216</v>
      </c>
      <c r="O25" t="s">
        <v>217</v>
      </c>
      <c r="P25" t="s">
        <v>218</v>
      </c>
      <c r="Q25" t="s">
        <v>219</v>
      </c>
      <c r="R25" t="s">
        <v>220</v>
      </c>
      <c r="S25" t="s">
        <v>221</v>
      </c>
      <c r="T25" t="s">
        <v>222</v>
      </c>
    </row>
    <row r="26" spans="2:20" x14ac:dyDescent="0.35">
      <c r="B26" t="s">
        <v>196</v>
      </c>
      <c r="C26" t="s">
        <v>197</v>
      </c>
      <c r="D26" t="s">
        <v>177</v>
      </c>
      <c r="E26">
        <v>11.1</v>
      </c>
      <c r="F26">
        <v>8.4</v>
      </c>
      <c r="G26">
        <v>9.1</v>
      </c>
      <c r="H26">
        <v>11.4</v>
      </c>
      <c r="I26">
        <v>14.1</v>
      </c>
      <c r="J26">
        <v>14.2</v>
      </c>
      <c r="K26">
        <v>14.3</v>
      </c>
      <c r="L26">
        <v>14.2</v>
      </c>
      <c r="M26">
        <v>-3.3</v>
      </c>
      <c r="N26">
        <v>-0.3</v>
      </c>
      <c r="O26">
        <v>0.4</v>
      </c>
      <c r="P26">
        <v>-0.1</v>
      </c>
      <c r="Q26" s="35">
        <v>1.6</v>
      </c>
      <c r="R26" s="35">
        <v>1.6</v>
      </c>
      <c r="S26" s="35">
        <v>1.5</v>
      </c>
      <c r="T26" s="35">
        <v>1.4</v>
      </c>
    </row>
    <row r="27" spans="2:20" x14ac:dyDescent="0.35">
      <c r="B27" t="s">
        <v>198</v>
      </c>
      <c r="C27" t="s">
        <v>197</v>
      </c>
      <c r="D27" t="s">
        <v>177</v>
      </c>
      <c r="E27">
        <v>0</v>
      </c>
      <c r="F27">
        <v>0.9</v>
      </c>
      <c r="G27">
        <v>3.1</v>
      </c>
      <c r="H27">
        <v>3.9</v>
      </c>
      <c r="I27">
        <v>9.5</v>
      </c>
      <c r="J27">
        <v>9</v>
      </c>
      <c r="K27">
        <v>9.3000000000000007</v>
      </c>
      <c r="L27">
        <v>9.6</v>
      </c>
      <c r="M27">
        <v>1.9</v>
      </c>
      <c r="N27">
        <v>4.4000000000000004</v>
      </c>
      <c r="O27">
        <v>2</v>
      </c>
      <c r="P27">
        <v>1.8</v>
      </c>
      <c r="Q27" s="35">
        <v>0.8</v>
      </c>
      <c r="R27" s="35">
        <v>0.8</v>
      </c>
      <c r="S27" s="35">
        <v>0.7</v>
      </c>
      <c r="T27" s="35">
        <v>0.7</v>
      </c>
    </row>
    <row r="28" spans="2:20" x14ac:dyDescent="0.35">
      <c r="B28" t="s">
        <v>199</v>
      </c>
      <c r="C28" t="s">
        <v>200</v>
      </c>
      <c r="D28" t="s">
        <v>177</v>
      </c>
      <c r="E28">
        <v>9.6999999999999993</v>
      </c>
      <c r="F28">
        <v>8.8000000000000007</v>
      </c>
      <c r="G28">
        <v>7.2</v>
      </c>
      <c r="H28">
        <v>7.6</v>
      </c>
      <c r="I28">
        <v>10.3</v>
      </c>
      <c r="J28">
        <v>10.5</v>
      </c>
      <c r="K28">
        <v>10.5</v>
      </c>
      <c r="L28">
        <v>10.7</v>
      </c>
      <c r="M28">
        <v>-3.6</v>
      </c>
      <c r="N28">
        <v>-5.3</v>
      </c>
      <c r="O28">
        <v>-4.9000000000000004</v>
      </c>
      <c r="P28">
        <v>-0.3</v>
      </c>
      <c r="Q28" s="35">
        <v>3.2</v>
      </c>
      <c r="R28" s="35">
        <v>2.9</v>
      </c>
      <c r="S28" s="35">
        <v>2.6</v>
      </c>
      <c r="T28" s="35">
        <v>2.5</v>
      </c>
    </row>
    <row r="29" spans="2:20" x14ac:dyDescent="0.35">
      <c r="B29" t="s">
        <v>201</v>
      </c>
      <c r="C29" t="s">
        <v>197</v>
      </c>
      <c r="D29" t="s">
        <v>177</v>
      </c>
      <c r="E29">
        <v>7.1</v>
      </c>
      <c r="F29">
        <v>4.9000000000000004</v>
      </c>
      <c r="G29">
        <v>4.4000000000000004</v>
      </c>
      <c r="H29">
        <v>4.5</v>
      </c>
      <c r="I29">
        <v>8.4</v>
      </c>
      <c r="J29">
        <v>8.1</v>
      </c>
      <c r="K29">
        <v>8.1</v>
      </c>
      <c r="L29">
        <v>8.3000000000000007</v>
      </c>
      <c r="M29">
        <v>-0.4</v>
      </c>
      <c r="N29">
        <v>0.7</v>
      </c>
      <c r="O29">
        <v>1.4</v>
      </c>
      <c r="P29">
        <v>1.2</v>
      </c>
      <c r="Q29" s="35">
        <v>2.7</v>
      </c>
      <c r="R29" s="35">
        <v>2.7</v>
      </c>
      <c r="S29" s="35">
        <v>2.7</v>
      </c>
      <c r="T29" s="35">
        <v>2.2999999999999998</v>
      </c>
    </row>
    <row r="30" spans="2:20" x14ac:dyDescent="0.35">
      <c r="B30" t="s">
        <v>202</v>
      </c>
      <c r="C30" t="s">
        <v>197</v>
      </c>
      <c r="D30" t="s">
        <v>177</v>
      </c>
      <c r="E30">
        <v>1.7</v>
      </c>
      <c r="F30">
        <v>0.8</v>
      </c>
      <c r="G30">
        <v>4</v>
      </c>
      <c r="H30">
        <v>4.5</v>
      </c>
      <c r="I30">
        <v>7.1</v>
      </c>
      <c r="J30">
        <v>7</v>
      </c>
      <c r="K30">
        <v>7.2</v>
      </c>
      <c r="L30">
        <v>7.3</v>
      </c>
      <c r="M30">
        <v>-0.9</v>
      </c>
      <c r="N30">
        <v>3.6</v>
      </c>
      <c r="O30">
        <v>1.3</v>
      </c>
      <c r="P30">
        <v>1.3</v>
      </c>
      <c r="Q30" s="35">
        <v>2.2999999999999998</v>
      </c>
      <c r="R30" s="35">
        <v>1.8</v>
      </c>
      <c r="S30" s="35">
        <v>1.5</v>
      </c>
      <c r="T30" s="35">
        <v>1.2</v>
      </c>
    </row>
    <row r="32" spans="2:20" x14ac:dyDescent="0.35">
      <c r="I32" s="30">
        <f>AVERAGE(I25:I30)</f>
        <v>9.8800000000000008</v>
      </c>
      <c r="J32" s="30">
        <f t="shared" ref="J32:L32" si="1">AVERAGE(J25:J30)</f>
        <v>9.7600000000000016</v>
      </c>
      <c r="K32" s="30">
        <f t="shared" si="1"/>
        <v>9.8800000000000008</v>
      </c>
      <c r="L32" s="30">
        <f t="shared" si="1"/>
        <v>10.02</v>
      </c>
      <c r="M32" s="30"/>
      <c r="N32" s="30"/>
      <c r="O32" s="30"/>
      <c r="P32" s="30"/>
      <c r="Q32" s="35">
        <f>AVERAGE(Q25:Q30)</f>
        <v>2.12</v>
      </c>
      <c r="R32" s="35">
        <f t="shared" ref="R32:T32" si="2">AVERAGE(R25:R30)</f>
        <v>1.9600000000000002</v>
      </c>
      <c r="S32" s="35">
        <f t="shared" si="2"/>
        <v>1.8</v>
      </c>
      <c r="T32" s="35">
        <f t="shared" si="2"/>
        <v>1.6199999999999999</v>
      </c>
    </row>
    <row r="34" spans="9:13" x14ac:dyDescent="0.35">
      <c r="J34">
        <v>2024</v>
      </c>
      <c r="K34">
        <v>2025</v>
      </c>
      <c r="L34" s="36" t="s">
        <v>192</v>
      </c>
      <c r="M34" s="36" t="s">
        <v>193</v>
      </c>
    </row>
    <row r="35" spans="9:13" x14ac:dyDescent="0.35">
      <c r="I35" t="s">
        <v>203</v>
      </c>
      <c r="J35" s="34">
        <f>I32/100</f>
        <v>9.8800000000000013E-2</v>
      </c>
      <c r="K35" s="34">
        <f>J32/100</f>
        <v>9.760000000000002E-2</v>
      </c>
      <c r="L35" s="34">
        <f>K32/100</f>
        <v>9.8800000000000013E-2</v>
      </c>
      <c r="M35" s="34">
        <f>L32/100</f>
        <v>0.1002</v>
      </c>
    </row>
    <row r="36" spans="9:13" x14ac:dyDescent="0.35">
      <c r="I36" t="s">
        <v>204</v>
      </c>
      <c r="J36" s="35">
        <f>Q32</f>
        <v>2.12</v>
      </c>
      <c r="K36" s="35">
        <f t="shared" ref="K36:M36" si="3">R32</f>
        <v>1.9600000000000002</v>
      </c>
      <c r="L36" s="35">
        <f t="shared" si="3"/>
        <v>1.8</v>
      </c>
      <c r="M36" s="35">
        <f t="shared" si="3"/>
        <v>1.6199999999999999</v>
      </c>
    </row>
  </sheetData>
  <mergeCells count="4">
    <mergeCell ref="E23:H23"/>
    <mergeCell ref="I23:L23"/>
    <mergeCell ref="M23:P23"/>
    <mergeCell ref="Q23:T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Resumen</vt:lpstr>
      <vt:lpstr>1_Actividad_Economica</vt:lpstr>
      <vt:lpstr>2_Ventas_Retail</vt:lpstr>
      <vt:lpstr>3_Confianza_Empresarial</vt:lpstr>
      <vt:lpstr>4_Confianza_Consumidor</vt:lpstr>
      <vt:lpstr>5_Inflacion</vt:lpstr>
      <vt:lpstr>6_ANTAD</vt:lpstr>
      <vt:lpstr>7_TPM's</vt:lpstr>
      <vt:lpstr>Links a revisar</vt:lpstr>
      <vt:lpstr>PIB_Corp_Colombia</vt:lpstr>
      <vt:lpstr>PIB_Corp_Mex</vt:lpstr>
      <vt:lpstr>PIB_Corp_Chile</vt:lpstr>
      <vt:lpstr>PIB_Corp_Brasil</vt:lpstr>
      <vt:lpstr>PIB_Corp_Peru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Sebastian Lozano Mur</cp:lastModifiedBy>
  <cp:revision>3</cp:revision>
  <dcterms:created xsi:type="dcterms:W3CDTF">2026-05-04T20:59:37Z</dcterms:created>
  <dcterms:modified xsi:type="dcterms:W3CDTF">2026-10-16T17:43:39Z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6a74d-126d-4156-a9df-3b44c46a12cb_Enabled">
    <vt:lpwstr>True</vt:lpwstr>
  </property>
  <property fmtid="{D5CDD505-2E9C-101B-9397-08002B2CF9AE}" pid="3" name="MSIP_Label_a566a74d-126d-4156-a9df-3b44c46a12cb_SiteId">
    <vt:lpwstr>2cb4d124-c9ed-48cc-aefd-228cd153e897</vt:lpwstr>
  </property>
  <property fmtid="{D5CDD505-2E9C-101B-9397-08002B2CF9AE}" pid="4" name="MSIP_Label_a566a74d-126d-4156-a9df-3b44c46a12cb_SetDate">
    <vt:lpwstr>2026-05-05T02:37:27Z</vt:lpwstr>
  </property>
  <property fmtid="{D5CDD505-2E9C-101B-9397-08002B2CF9AE}" pid="5" name="MSIP_Label_a566a74d-126d-4156-a9df-3b44c46a12cb_Name">
    <vt:lpwstr>Interno</vt:lpwstr>
  </property>
  <property fmtid="{D5CDD505-2E9C-101B-9397-08002B2CF9AE}" pid="6" name="MSIP_Label_a566a74d-126d-4156-a9df-3b44c46a12cb_ActionId">
    <vt:lpwstr>8c1b33c1-3311-4993-a426-4044ec98c5b9</vt:lpwstr>
  </property>
  <property fmtid="{D5CDD505-2E9C-101B-9397-08002B2CF9AE}" pid="7" name="MSIP_Label_a566a74d-126d-4156-a9df-3b44c46a12cb_Removed">
    <vt:lpwstr>False</vt:lpwstr>
  </property>
  <property fmtid="{D5CDD505-2E9C-101B-9397-08002B2CF9AE}" pid="8" name="MSIP_Label_a566a74d-126d-4156-a9df-3b44c46a12cb_Extended_MSFT_Method">
    <vt:lpwstr>Standard</vt:lpwstr>
  </property>
  <property fmtid="{D5CDD505-2E9C-101B-9397-08002B2CF9AE}" pid="9" name="Sensitivity">
    <vt:lpwstr>Interno</vt:lpwstr>
  </property>
</Properties>
</file>